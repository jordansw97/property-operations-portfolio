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Action Center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Work Orders" sheetId="5" state="visible" r:id="rId5"/>
    <sheet xmlns:r="http://schemas.openxmlformats.org/officeDocument/2006/relationships" name="Turnover" sheetId="6" state="visible" r:id="rId6"/>
    <sheet xmlns:r="http://schemas.openxmlformats.org/officeDocument/2006/relationships" name="Retention" sheetId="7" state="visible" r:id="rId7"/>
    <sheet xmlns:r="http://schemas.openxmlformats.org/officeDocument/2006/relationships" name="Service Recovery" sheetId="8" state="visible" r:id="rId8"/>
    <sheet xmlns:r="http://schemas.openxmlformats.org/officeDocument/2006/relationships" name="ChartData" sheetId="9" state="hidden" r:id="rId9"/>
    <sheet xmlns:r="http://schemas.openxmlformats.org/officeDocument/2006/relationships" name="Weekly Report" sheetId="10" state="visible" r:id="rId10"/>
  </sheets>
  <definedNames>
    <definedName name="_xlnm._FilterDatabase" localSheetId="4" hidden="1">'Work Orders'!$A$1:$L$29</definedName>
    <definedName name="_xlnm._FilterDatabase" localSheetId="5" hidden="1">'Turnover'!$A$1:$K$23</definedName>
    <definedName name="_xlnm._FilterDatabase" localSheetId="6" hidden="1">'Retention'!$A$1:$I$25</definedName>
    <definedName name="_xlnm._FilterDatabase" localSheetId="7" hidden="1">'Service Recovery'!$A$1:$J$16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&quot;$&quot;#,##0"/>
    <numFmt numFmtId="166" formatCode="mm/dd/yyyy"/>
  </numFmts>
  <fonts count="30">
    <font>
      <name val="Calibri"/>
      <family val="2"/>
      <color theme="1"/>
      <sz val="11"/>
      <scheme val="minor"/>
    </font>
    <font>
      <name val="Calibri"/>
      <b val="1"/>
      <color rgb="0016233F"/>
      <sz val="16"/>
    </font>
    <font>
      <name val="Calibri"/>
      <i val="1"/>
      <color rgb="005A6472"/>
      <sz val="11"/>
    </font>
    <font>
      <name val="Calibri"/>
      <i val="1"/>
      <color rgb="00C0392B"/>
      <sz val="11"/>
    </font>
    <font>
      <name val="Calibri"/>
      <b val="1"/>
      <color rgb="0016233F"/>
      <sz val="11"/>
    </font>
    <font>
      <name val="Calibri"/>
      <color rgb="0023272E"/>
      <sz val="11"/>
    </font>
    <font>
      <name val="Calibri"/>
      <b val="1"/>
      <color rgb="0023272E"/>
      <sz val="11"/>
    </font>
    <font>
      <name val="Calibri"/>
      <b val="1"/>
      <color rgb="00FFFFFF"/>
      <sz val="11"/>
    </font>
    <font>
      <name val="Calibri"/>
      <b val="1"/>
      <color rgb="0016233F"/>
      <sz val="13"/>
    </font>
    <font>
      <name val="Calibri"/>
      <b val="1"/>
      <color rgb="001F3864"/>
      <sz val="22"/>
    </font>
    <font>
      <name val="Calibri"/>
      <i val="1"/>
      <color rgb="00808080"/>
      <sz val="11"/>
    </font>
    <font>
      <name val="Calibri"/>
      <b val="1"/>
      <color rgb="00808080"/>
      <sz val="11"/>
    </font>
    <font>
      <name val="Calibri"/>
      <b val="1"/>
      <color rgb="00808080"/>
      <sz val="9"/>
    </font>
    <font>
      <name val="Calibri"/>
      <b val="1"/>
      <color rgb="00C00000"/>
      <sz val="26"/>
    </font>
    <font>
      <name val="Calibri"/>
      <color rgb="002E75B6"/>
      <sz val="9"/>
      <u val="single"/>
    </font>
    <font>
      <name val="Calibri"/>
      <b val="1"/>
      <color rgb="00ED7D31"/>
      <sz val="26"/>
    </font>
    <font>
      <name val="Calibri"/>
      <b val="1"/>
      <color rgb="002E75B6"/>
      <sz val="26"/>
    </font>
    <font>
      <name val="Calibri"/>
      <b val="1"/>
      <color rgb="002E7D32"/>
      <sz val="26"/>
    </font>
    <font>
      <name val="Calibri"/>
      <b val="1"/>
      <color rgb="00FFFFFF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  <font>
      <name val="Calibri"/>
      <b val="1"/>
      <color rgb="00C00000"/>
      <sz val="20"/>
    </font>
    <font>
      <name val="Calibri"/>
      <b val="1"/>
      <color rgb="00FFFFFF"/>
      <sz val="13"/>
    </font>
    <font>
      <name val="Calibri"/>
      <color rgb="00404040"/>
      <sz val="11"/>
    </font>
    <font>
      <name val="Calibri"/>
      <b val="1"/>
      <color rgb="002E75B6"/>
      <sz val="10"/>
      <u val="single"/>
    </font>
    <font>
      <name val="Calibri"/>
      <i val="1"/>
      <color rgb="002E75B6"/>
      <sz val="10"/>
      <u val="single"/>
    </font>
    <font>
      <name val="Calibri"/>
      <b val="1"/>
      <color rgb="00404040"/>
      <sz val="12"/>
    </font>
    <font>
      <name val="Calibri"/>
      <b val="1"/>
      <color rgb="001F3864"/>
      <sz val="13"/>
    </font>
    <font>
      <name val="Calibri"/>
      <b val="1"/>
      <color rgb="00C00000"/>
      <sz val="11"/>
    </font>
    <font>
      <name val="Calibri"/>
      <b val="1"/>
      <color rgb="001F3864"/>
      <sz val="11"/>
    </font>
  </fonts>
  <fills count="10">
    <fill>
      <patternFill/>
    </fill>
    <fill>
      <patternFill patternType="gray125"/>
    </fill>
    <fill>
      <patternFill patternType="solid">
        <fgColor rgb="0016233F"/>
      </patternFill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2E7D32"/>
      </patternFill>
    </fill>
    <fill>
      <patternFill patternType="solid">
        <fgColor rgb="00404040"/>
      </patternFill>
    </fill>
    <fill>
      <patternFill patternType="solid">
        <fgColor rgb="00ED7D31"/>
      </patternFill>
    </fill>
    <fill>
      <patternFill patternType="solid">
        <fgColor rgb="002E75B6"/>
      </patternFill>
    </fill>
    <fill>
      <patternFill patternType="solid">
        <fgColor rgb="007030A0"/>
      </patternFill>
    </fill>
  </fills>
  <borders count="3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2" borderId="0" pivotButton="0" quotePrefix="0" xfId="0"/>
    <xf numFmtId="0" fontId="5" fillId="0" borderId="0" pivotButton="0" quotePrefix="0" xfId="0"/>
    <xf numFmtId="0" fontId="8" fillId="0" borderId="1" applyAlignment="1" pivotButton="0" quotePrefix="0" xfId="0">
      <alignment horizontal="center" vertical="center" wrapText="1"/>
    </xf>
    <xf numFmtId="9" fontId="8" fillId="0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2" applyAlignment="1" pivotButton="0" quotePrefix="0" xfId="0">
      <alignment horizontal="center"/>
    </xf>
    <xf numFmtId="0" fontId="0" fillId="0" borderId="2" pivotButton="0" quotePrefix="0" xfId="0"/>
    <xf numFmtId="0" fontId="13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/>
    </xf>
    <xf numFmtId="0" fontId="18" fillId="3" borderId="0" applyAlignment="1" pivotButton="0" quotePrefix="0" xfId="0">
      <alignment horizontal="center" vertical="center" wrapText="1"/>
    </xf>
    <xf numFmtId="0" fontId="18" fillId="4" borderId="0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21" fillId="0" borderId="0" pivotButton="0" quotePrefix="0" xfId="0"/>
    <xf numFmtId="0" fontId="10" fillId="0" borderId="0" pivotButton="0" quotePrefix="0" xfId="0"/>
    <xf numFmtId="0" fontId="22" fillId="4" borderId="0" applyAlignment="1" pivotButton="0" quotePrefix="0" xfId="0">
      <alignment horizontal="left" vertical="center"/>
    </xf>
    <xf numFmtId="0" fontId="20" fillId="6" borderId="2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/>
    </xf>
    <xf numFmtId="0" fontId="24" fillId="0" borderId="2" applyAlignment="1" pivotButton="0" quotePrefix="0" xfId="0">
      <alignment horizontal="center" vertical="center"/>
    </xf>
    <xf numFmtId="0" fontId="22" fillId="7" borderId="0" applyAlignment="1" pivotButton="0" quotePrefix="0" xfId="0">
      <alignment horizontal="left" vertical="center"/>
    </xf>
    <xf numFmtId="0" fontId="22" fillId="8" borderId="0" applyAlignment="1" pivotButton="0" quotePrefix="0" xfId="0">
      <alignment horizontal="left" vertical="center"/>
    </xf>
    <xf numFmtId="166" fontId="23" fillId="0" borderId="2" applyAlignment="1" pivotButton="0" quotePrefix="0" xfId="0">
      <alignment horizontal="center" vertical="center"/>
    </xf>
    <xf numFmtId="0" fontId="22" fillId="9" borderId="0" applyAlignment="1" pivotButton="0" quotePrefix="0" xfId="0">
      <alignment horizontal="left" vertical="center"/>
    </xf>
    <xf numFmtId="0" fontId="22" fillId="5" borderId="0" applyAlignment="1" pivotButton="0" quotePrefix="0" xfId="0">
      <alignment horizontal="left" vertical="center"/>
    </xf>
    <xf numFmtId="0" fontId="29" fillId="0" borderId="0" pivotButton="0" quotePrefix="0" xfId="0"/>
    <xf numFmtId="0" fontId="23" fillId="0" borderId="0" applyAlignment="1" pivotButton="0" quotePrefix="0" xfId="0">
      <alignment vertical="top" wrapText="1"/>
    </xf>
    <xf numFmtId="0" fontId="25" fillId="0" borderId="0" pivotButton="0" quotePrefix="0" xfId="0"/>
    <xf numFmtId="0" fontId="20" fillId="3" borderId="0" applyAlignment="1" pivotButton="0" quotePrefix="0" xfId="0">
      <alignment horizontal="center" vertical="center"/>
    </xf>
    <xf numFmtId="0" fontId="20" fillId="3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26" fillId="0" borderId="0" pivotButton="0" quotePrefix="0" xfId="0"/>
    <xf numFmtId="0" fontId="22" fillId="3" borderId="0" pivotButton="0" quotePrefix="0" xfId="0"/>
    <xf numFmtId="0" fontId="23" fillId="0" borderId="2" pivotButton="0" quotePrefix="0" xfId="0"/>
    <xf numFmtId="0" fontId="27" fillId="0" borderId="2" applyAlignment="1" pivotButton="0" quotePrefix="0" xfId="0">
      <alignment horizontal="center"/>
    </xf>
    <xf numFmtId="0" fontId="22" fillId="4" borderId="0" pivotButton="0" quotePrefix="0" xfId="0"/>
    <xf numFmtId="0" fontId="20" fillId="6" borderId="2" applyAlignment="1" pivotButton="0" quotePrefix="0" xfId="0">
      <alignment horizontal="center"/>
    </xf>
    <xf numFmtId="0" fontId="23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19" fillId="0" borderId="0" applyAlignment="1" pivotButton="0" quotePrefix="0" xfId="0">
      <alignment vertical="top" wrapText="1"/>
    </xf>
  </cellXfs>
  <cellStyles count="1">
    <cellStyle name="Normal" xfId="0" builtinId="0" hidden="0"/>
  </cellStyles>
  <dxfs count="9">
    <dxf>
      <font>
        <b val="1"/>
        <color rgb="00C0392B"/>
      </font>
      <fill>
        <patternFill patternType="solid">
          <fgColor rgb="00F8D7DA"/>
        </patternFill>
      </fill>
    </dxf>
    <dxf>
      <font>
        <b val="1"/>
        <color rgb="00856404"/>
      </font>
      <fill>
        <patternFill patternType="solid">
          <fgColor rgb="00FFF3CD"/>
        </patternFill>
      </fill>
    </dxf>
    <dxf>
      <font>
        <color rgb="001E7E34"/>
      </font>
      <fill>
        <patternFill patternType="solid">
          <fgColor rgb="00D4EDDA"/>
        </patternFill>
      </fill>
    </dxf>
    <dxf>
      <font>
        <color rgb="005A6472"/>
      </font>
      <fill>
        <patternFill patternType="solid">
          <fgColor rgb="00E9ECEF"/>
        </patternFill>
      </fill>
    </dxf>
    <dxf>
      <font>
        <b val="1"/>
        <color rgb="00C0392B"/>
      </font>
    </dxf>
    <dxf>
      <font>
        <b val="1"/>
        <color rgb="001E7E34"/>
      </font>
      <fill>
        <patternFill patternType="solid">
          <fgColor rgb="00D4EDDA"/>
        </patternFill>
      </fill>
    </dxf>
    <dxf>
      <font>
        <b val="1"/>
        <color rgb="000C5460"/>
      </font>
      <fill>
        <patternFill patternType="solid">
          <fgColor rgb="00D1ECF1"/>
        </patternFill>
      </fill>
    </dxf>
    <dxf>
      <font>
        <color rgb="00856404"/>
      </font>
      <fill>
        <patternFill patternType="solid">
          <fgColor rgb="00FFF3CD"/>
        </patternFill>
      </fill>
    </dxf>
    <dxf>
      <font>
        <color rgb="00C0392B"/>
      </font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Orders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'ChartData'!$A$2:$A$9</f>
            </numRef>
          </cat>
          <val>
            <numRef>
              <f>'ChartData'!$B$2:$B$9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SLA Status</a:t>
            </a:r>
          </a:p>
        </rich>
      </tx>
    </title>
    <plotArea>
      <pieChart>
        <varyColors val="1"/>
        <ser>
          <idx val="0"/>
          <order val="0"/>
          <tx>
            <strRef>
              <f>'ChartData'!E1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'ChartData'!$D$2:$D$5</f>
            </numRef>
          </cat>
          <val>
            <numRef>
              <f>'ChartData'!$E$2:$E$5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Turnover Pipeline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'ChartData'!$G$2:$G$5</f>
            </numRef>
          </cat>
          <val>
            <numRef>
              <f>'ChartData'!$H$2:$H$5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Renewal Intent</a:t>
            </a:r>
          </a:p>
        </rich>
      </tx>
    </title>
    <plotArea>
      <pieChart>
        <varyColors val="1"/>
        <ser>
          <idx val="0"/>
          <order val="0"/>
          <tx>
            <strRef>
              <f>'ChartData'!K1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'ChartData'!$J$2:$J$5</f>
            </numRef>
          </cat>
          <val>
            <numRef>
              <f>'ChartData'!$K$2:$K$5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3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20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20</row>
      <rowOff>0</rowOff>
    </from>
    <ext cx="468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ction Center'!A1" TargetMode="External" Id="rId1"/><Relationship Type="http://schemas.openxmlformats.org/officeDocument/2006/relationships/hyperlink" Target="#'Action Center'!A1" TargetMode="External" Id="rId2"/><Relationship Type="http://schemas.openxmlformats.org/officeDocument/2006/relationships/hyperlink" Target="#'Action Center'!A1" TargetMode="External" Id="rId3"/><Relationship Type="http://schemas.openxmlformats.org/officeDocument/2006/relationships/hyperlink" Target="#'Action Center'!A1" TargetMode="External" Id="rId4"/><Relationship Type="http://schemas.openxmlformats.org/officeDocument/2006/relationships/hyperlink" Target="#'Dashboard'!A1" TargetMode="External" Id="rId5"/><Relationship Type="http://schemas.openxmlformats.org/officeDocument/2006/relationships/hyperlink" Target="#'Work Orders'!A1" TargetMode="External" Id="rId6"/><Relationship Type="http://schemas.openxmlformats.org/officeDocument/2006/relationships/hyperlink" Target="#'Turnover'!A1" TargetMode="External" Id="rId7"/><Relationship Type="http://schemas.openxmlformats.org/officeDocument/2006/relationships/hyperlink" Target="#'Retention'!A1" TargetMode="External" Id="rId8"/><Relationship Type="http://schemas.openxmlformats.org/officeDocument/2006/relationships/hyperlink" Target="#'Service Recovery'!A1" TargetMode="External" Id="rId9"/><Relationship Type="http://schemas.openxmlformats.org/officeDocument/2006/relationships/hyperlink" Target="#'Action Center'!A1" TargetMode="External" Id="rId10"/><Relationship Type="http://schemas.openxmlformats.org/officeDocument/2006/relationships/hyperlink" Target="#'Weekly Report'!A1" TargetMode="External" Id="rId11"/></Relationships>
</file>

<file path=xl/worksheets/_rels/sheet4.xml.rels><Relationships xmlns="http://schemas.openxmlformats.org/package/2006/relationships"><Relationship Type="http://schemas.openxmlformats.org/officeDocument/2006/relationships/hyperlink" Target="#'Action Center'!A1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00D9A441"/>
    <outlinePr summaryBelow="1" summaryRight="1"/>
    <pageSetUpPr fitToPage="1"/>
  </sheetPr>
  <dimension ref="B1:I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3" customWidth="1" min="9" max="9"/>
  </cols>
  <sheetData>
    <row r="1" ht="40" customHeight="1">
      <c r="B1" s="19" t="inlineStr">
        <is>
          <t>Property Operations Toolkit</t>
        </is>
      </c>
    </row>
    <row r="2">
      <c r="B2" s="20" t="inlineStr">
        <is>
          <t>One command center for work orders, turnover, retention, and service recovery.</t>
        </is>
      </c>
    </row>
    <row r="4">
      <c r="B4" s="21" t="inlineStr">
        <is>
          <t>PULSE — RIGHT NOW</t>
        </is>
      </c>
    </row>
    <row r="5">
      <c r="B5" s="22" t="inlineStr">
        <is>
          <t>SLA BREACHES</t>
        </is>
      </c>
      <c r="C5" s="23" t="n"/>
      <c r="D5" s="22" t="inlineStr">
        <is>
          <t>AT RISK</t>
        </is>
      </c>
      <c r="E5" s="23" t="n"/>
      <c r="F5" s="22" t="inlineStr">
        <is>
          <t>FOLLOW-UPS DUE</t>
        </is>
      </c>
      <c r="G5" s="23" t="n"/>
      <c r="H5" s="22" t="inlineStr">
        <is>
          <t>UNITS NOT READY</t>
        </is>
      </c>
      <c r="I5" s="23" t="n"/>
    </row>
    <row r="6" ht="38" customHeight="1">
      <c r="B6" s="24">
        <f>COUNTIFS('Work Orders'!L2:L500,"Breached")</f>
        <v/>
      </c>
      <c r="C6" s="23" t="n"/>
      <c r="D6" s="25">
        <f>COUNTIFS('Work Orders'!L2:L500,"At Risk")</f>
        <v/>
      </c>
      <c r="E6" s="23" t="n"/>
      <c r="F6" s="26">
        <f>COUNTIFS('Service Recovery'!H2:H500,"No",'Service Recovery'!I2:I500,"&lt;&gt;"&amp;"",'Service Recovery'!I2:I500,"&lt;="&amp;TODAY()+2)</f>
        <v/>
      </c>
      <c r="G6" s="23" t="n"/>
      <c r="H6" s="27">
        <f>COUNTA(Turnover!A2:A500)-COUNTIFS(Turnover!H2:H500,"Ready")-COUNTIFS(Turnover!H2:H500,"Ready for QC")</f>
        <v/>
      </c>
      <c r="I6" s="23" t="n"/>
    </row>
    <row r="7">
      <c r="B7" s="28" t="inlineStr">
        <is>
          <t>View in Action Center →</t>
        </is>
      </c>
      <c r="C7" s="23" t="n"/>
      <c r="D7" s="28" t="inlineStr">
        <is>
          <t>View in Action Center →</t>
        </is>
      </c>
      <c r="E7" s="23" t="n"/>
      <c r="F7" s="28" t="inlineStr">
        <is>
          <t>View in Action Center →</t>
        </is>
      </c>
      <c r="G7" s="23" t="n"/>
      <c r="H7" s="28" t="inlineStr">
        <is>
          <t>View in Action Center →</t>
        </is>
      </c>
      <c r="I7" s="23" t="n"/>
    </row>
    <row r="9">
      <c r="B9" s="21" t="inlineStr">
        <is>
          <t>OPEN A TRACKER</t>
        </is>
      </c>
    </row>
    <row r="10" ht="30" customHeight="1">
      <c r="B10" s="29" t="inlineStr">
        <is>
          <t>Dashboard</t>
        </is>
      </c>
      <c r="D10" s="29" t="inlineStr">
        <is>
          <t>Work Orders</t>
        </is>
      </c>
      <c r="F10" s="29" t="inlineStr">
        <is>
          <t>Turnover</t>
        </is>
      </c>
    </row>
    <row r="11" ht="30" customHeight="1"/>
    <row r="12" ht="30" customHeight="1"/>
    <row r="14" ht="30" customHeight="1">
      <c r="B14" s="29" t="inlineStr">
        <is>
          <t>Retention</t>
        </is>
      </c>
      <c r="D14" s="29" t="inlineStr">
        <is>
          <t>Service Recovery</t>
        </is>
      </c>
      <c r="F14" s="30" t="inlineStr">
        <is>
          <t>⚡ Action Center</t>
        </is>
      </c>
      <c r="H14" s="31" t="inlineStr">
        <is>
          <t>Weekly
Report</t>
        </is>
      </c>
    </row>
    <row r="15" ht="30" customHeight="1"/>
    <row r="16" ht="30" customHeight="1"/>
    <row r="18">
      <c r="B18" s="32" t="inlineStr">
        <is>
          <t>SAMPLE DATA — every number on this page is live. Add a row to any tracker and the pulse, charts, Action Center, and Weekly Report update on their own.
Built by Jordan S. Williams · Resident Experience Specialist (Shift Lead)</t>
        </is>
      </c>
    </row>
    <row r="19"/>
  </sheetData>
  <mergeCells count="24">
    <mergeCell ref="B7:C7"/>
    <mergeCell ref="B9:H9"/>
    <mergeCell ref="B18:H19"/>
    <mergeCell ref="D10:E12"/>
    <mergeCell ref="F6:G6"/>
    <mergeCell ref="F7:G7"/>
    <mergeCell ref="D6:E6"/>
    <mergeCell ref="H6:I6"/>
    <mergeCell ref="B4:H4"/>
    <mergeCell ref="F5:G5"/>
    <mergeCell ref="H14:H16"/>
    <mergeCell ref="B10:C12"/>
    <mergeCell ref="D7:E7"/>
    <mergeCell ref="B14:C16"/>
    <mergeCell ref="H7:I7"/>
    <mergeCell ref="B2:H2"/>
    <mergeCell ref="B6:C6"/>
    <mergeCell ref="B1:H1"/>
    <mergeCell ref="B5:C5"/>
    <mergeCell ref="D5:E5"/>
    <mergeCell ref="H5:I5"/>
    <mergeCell ref="D14:E16"/>
    <mergeCell ref="F14:G16"/>
    <mergeCell ref="F10:G12"/>
  </mergeCells>
  <hyperlinks>
    <hyperlink xmlns:r="http://schemas.openxmlformats.org/officeDocument/2006/relationships" ref="B7" r:id="rId1"/>
    <hyperlink xmlns:r="http://schemas.openxmlformats.org/officeDocument/2006/relationships" ref="D7" r:id="rId2"/>
    <hyperlink xmlns:r="http://schemas.openxmlformats.org/officeDocument/2006/relationships" ref="F7" r:id="rId3"/>
    <hyperlink xmlns:r="http://schemas.openxmlformats.org/officeDocument/2006/relationships" ref="H7" r:id="rId4"/>
    <hyperlink xmlns:r="http://schemas.openxmlformats.org/officeDocument/2006/relationships" ref="B10" r:id="rId5"/>
    <hyperlink xmlns:r="http://schemas.openxmlformats.org/officeDocument/2006/relationships" ref="D10" r:id="rId6"/>
    <hyperlink xmlns:r="http://schemas.openxmlformats.org/officeDocument/2006/relationships" ref="F10" r:id="rId7"/>
    <hyperlink xmlns:r="http://schemas.openxmlformats.org/officeDocument/2006/relationships" ref="B14" r:id="rId8"/>
    <hyperlink xmlns:r="http://schemas.openxmlformats.org/officeDocument/2006/relationships" ref="D14" r:id="rId9"/>
    <hyperlink xmlns:r="http://schemas.openxmlformats.org/officeDocument/2006/relationships" ref="F14" r:id="rId10"/>
    <hyperlink xmlns:r="http://schemas.openxmlformats.org/officeDocument/2006/relationships" ref="H14" r:id="rId11"/>
  </hyperlink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49"/>
  <sheetViews>
    <sheetView workbookViewId="0">
      <selection activeCell="A1" sqref="A1"/>
    </sheetView>
  </sheetViews>
  <sheetFormatPr baseColWidth="8" defaultRowHeight="15"/>
  <cols>
    <col hidden="1" width="13" customWidth="1" min="1" max="1"/>
    <col width="13" customWidth="1" min="2" max="2"/>
    <col width="10" customWidth="1" min="3" max="3"/>
    <col width="13" customWidth="1" min="4" max="4"/>
    <col width="15" customWidth="1" min="5" max="5"/>
    <col width="13" customWidth="1" min="6" max="6"/>
    <col width="13" customWidth="1" min="7" max="7"/>
  </cols>
  <sheetData>
    <row r="1">
      <c r="B1" s="33" t="inlineStr">
        <is>
          <t>⚡ Action Center</t>
        </is>
      </c>
    </row>
    <row r="2">
      <c r="B2" s="34" t="inlineStr">
        <is>
          <t>Everything that needs you, surfaced automatically. Fix it in the source tracker — this page updates itself.</t>
        </is>
      </c>
    </row>
    <row r="3" ht="26" customHeight="1">
      <c r="B3" s="35" t="inlineStr">
        <is>
          <t>🔴  SLA BREACHES — past target, act now</t>
        </is>
      </c>
    </row>
    <row r="4" ht="30" customHeight="1">
      <c r="B4" s="36" t="inlineStr">
        <is>
          <t>WO-ID</t>
        </is>
      </c>
      <c r="C4" s="36" t="inlineStr">
        <is>
          <t>Unit</t>
        </is>
      </c>
      <c r="D4" s="36" t="inlineStr">
        <is>
          <t>Priority</t>
        </is>
      </c>
      <c r="E4" s="36" t="inlineStr">
        <is>
          <t>Days overdue</t>
        </is>
      </c>
      <c r="F4" s="36" t="inlineStr"/>
    </row>
    <row r="5" ht="20" customHeight="1">
      <c r="A5">
        <f>IFERROR(MATCH(1,'Work Orders'!$M$2:$M$500,0)+1,"")</f>
        <v/>
      </c>
      <c r="B5" s="37">
        <f>IF($A5="","",INDEX('Work Orders'!A:A,$A5))</f>
        <v/>
      </c>
      <c r="C5" s="37">
        <f>IF($A5="","",INDEX('Work Orders'!C:C,$A5))</f>
        <v/>
      </c>
      <c r="D5" s="37">
        <f>IF($A5="","",INDEX('Work Orders'!E:E,$A5))</f>
        <v/>
      </c>
      <c r="E5" s="37">
        <f>IF($A5="","",INDEX('Work Orders'!K:K,$A5)-INDEX('Work Orders'!J:J,$A5))</f>
        <v/>
      </c>
      <c r="F5" s="38">
        <f>IF($A5="","",HYPERLINK("#'Work Orders'!A"&amp;$A5,"Open →"))</f>
        <v/>
      </c>
    </row>
    <row r="6" ht="20" customHeight="1">
      <c r="A6">
        <f>IFERROR(MATCH(2,'Work Orders'!$M$2:$M$500,0)+1,"")</f>
        <v/>
      </c>
      <c r="B6" s="37">
        <f>IF($A6="","",INDEX('Work Orders'!A:A,$A6))</f>
        <v/>
      </c>
      <c r="C6" s="37">
        <f>IF($A6="","",INDEX('Work Orders'!C:C,$A6))</f>
        <v/>
      </c>
      <c r="D6" s="37">
        <f>IF($A6="","",INDEX('Work Orders'!E:E,$A6))</f>
        <v/>
      </c>
      <c r="E6" s="37">
        <f>IF($A6="","",INDEX('Work Orders'!K:K,$A6)-INDEX('Work Orders'!J:J,$A6))</f>
        <v/>
      </c>
      <c r="F6" s="38">
        <f>IF($A6="","",HYPERLINK("#'Work Orders'!A"&amp;$A6,"Open →"))</f>
        <v/>
      </c>
    </row>
    <row r="7" ht="20" customHeight="1">
      <c r="A7">
        <f>IFERROR(MATCH(3,'Work Orders'!$M$2:$M$500,0)+1,"")</f>
        <v/>
      </c>
      <c r="B7" s="37">
        <f>IF($A7="","",INDEX('Work Orders'!A:A,$A7))</f>
        <v/>
      </c>
      <c r="C7" s="37">
        <f>IF($A7="","",INDEX('Work Orders'!C:C,$A7))</f>
        <v/>
      </c>
      <c r="D7" s="37">
        <f>IF($A7="","",INDEX('Work Orders'!E:E,$A7))</f>
        <v/>
      </c>
      <c r="E7" s="37">
        <f>IF($A7="","",INDEX('Work Orders'!K:K,$A7)-INDEX('Work Orders'!J:J,$A7))</f>
        <v/>
      </c>
      <c r="F7" s="38">
        <f>IF($A7="","",HYPERLINK("#'Work Orders'!A"&amp;$A7,"Open →"))</f>
        <v/>
      </c>
    </row>
    <row r="8" ht="20" customHeight="1">
      <c r="A8">
        <f>IFERROR(MATCH(4,'Work Orders'!$M$2:$M$500,0)+1,"")</f>
        <v/>
      </c>
      <c r="B8" s="37">
        <f>IF($A8="","",INDEX('Work Orders'!A:A,$A8))</f>
        <v/>
      </c>
      <c r="C8" s="37">
        <f>IF($A8="","",INDEX('Work Orders'!C:C,$A8))</f>
        <v/>
      </c>
      <c r="D8" s="37">
        <f>IF($A8="","",INDEX('Work Orders'!E:E,$A8))</f>
        <v/>
      </c>
      <c r="E8" s="37">
        <f>IF($A8="","",INDEX('Work Orders'!K:K,$A8)-INDEX('Work Orders'!J:J,$A8))</f>
        <v/>
      </c>
      <c r="F8" s="38">
        <f>IF($A8="","",HYPERLINK("#'Work Orders'!A"&amp;$A8,"Open →"))</f>
        <v/>
      </c>
    </row>
    <row r="9" ht="20" customHeight="1">
      <c r="A9">
        <f>IFERROR(MATCH(5,'Work Orders'!$M$2:$M$500,0)+1,"")</f>
        <v/>
      </c>
      <c r="B9" s="37">
        <f>IF($A9="","",INDEX('Work Orders'!A:A,$A9))</f>
        <v/>
      </c>
      <c r="C9" s="37">
        <f>IF($A9="","",INDEX('Work Orders'!C:C,$A9))</f>
        <v/>
      </c>
      <c r="D9" s="37">
        <f>IF($A9="","",INDEX('Work Orders'!E:E,$A9))</f>
        <v/>
      </c>
      <c r="E9" s="37">
        <f>IF($A9="","",INDEX('Work Orders'!K:K,$A9)-INDEX('Work Orders'!J:J,$A9))</f>
        <v/>
      </c>
      <c r="F9" s="38">
        <f>IF($A9="","",HYPERLINK("#'Work Orders'!A"&amp;$A9,"Open →"))</f>
        <v/>
      </c>
    </row>
    <row r="10" ht="20" customHeight="1">
      <c r="A10">
        <f>IFERROR(MATCH(6,'Work Orders'!$M$2:$M$500,0)+1,"")</f>
        <v/>
      </c>
      <c r="B10" s="37">
        <f>IF($A10="","",INDEX('Work Orders'!A:A,$A10))</f>
        <v/>
      </c>
      <c r="C10" s="37">
        <f>IF($A10="","",INDEX('Work Orders'!C:C,$A10))</f>
        <v/>
      </c>
      <c r="D10" s="37">
        <f>IF($A10="","",INDEX('Work Orders'!E:E,$A10))</f>
        <v/>
      </c>
      <c r="E10" s="37">
        <f>IF($A10="","",INDEX('Work Orders'!K:K,$A10)-INDEX('Work Orders'!J:J,$A10))</f>
        <v/>
      </c>
      <c r="F10" s="38">
        <f>IF($A10="","",HYPERLINK("#'Work Orders'!A"&amp;$A10,"Open →"))</f>
        <v/>
      </c>
    </row>
    <row r="11" ht="20" customHeight="1">
      <c r="A11">
        <f>IFERROR(MATCH(7,'Work Orders'!$M$2:$M$500,0)+1,"")</f>
        <v/>
      </c>
      <c r="B11" s="37">
        <f>IF($A11="","",INDEX('Work Orders'!A:A,$A11))</f>
        <v/>
      </c>
      <c r="C11" s="37">
        <f>IF($A11="","",INDEX('Work Orders'!C:C,$A11))</f>
        <v/>
      </c>
      <c r="D11" s="37">
        <f>IF($A11="","",INDEX('Work Orders'!E:E,$A11))</f>
        <v/>
      </c>
      <c r="E11" s="37">
        <f>IF($A11="","",INDEX('Work Orders'!K:K,$A11)-INDEX('Work Orders'!J:J,$A11))</f>
        <v/>
      </c>
      <c r="F11" s="38">
        <f>IF($A11="","",HYPERLINK("#'Work Orders'!A"&amp;$A11,"Open →"))</f>
        <v/>
      </c>
    </row>
    <row r="12" ht="20" customHeight="1">
      <c r="A12">
        <f>IFERROR(MATCH(8,'Work Orders'!$M$2:$M$500,0)+1,"")</f>
        <v/>
      </c>
      <c r="B12" s="37">
        <f>IF($A12="","",INDEX('Work Orders'!A:A,$A12))</f>
        <v/>
      </c>
      <c r="C12" s="37">
        <f>IF($A12="","",INDEX('Work Orders'!C:C,$A12))</f>
        <v/>
      </c>
      <c r="D12" s="37">
        <f>IF($A12="","",INDEX('Work Orders'!E:E,$A12))</f>
        <v/>
      </c>
      <c r="E12" s="37">
        <f>IF($A12="","",INDEX('Work Orders'!K:K,$A12)-INDEX('Work Orders'!J:J,$A12))</f>
        <v/>
      </c>
      <c r="F12" s="38">
        <f>IF($A12="","",HYPERLINK("#'Work Orders'!A"&amp;$A12,"Open →"))</f>
        <v/>
      </c>
    </row>
    <row r="14" ht="26" customHeight="1">
      <c r="B14" s="39" t="inlineStr">
        <is>
          <t>🟡  AT RISK — due within 2 days</t>
        </is>
      </c>
    </row>
    <row r="15" ht="30" customHeight="1">
      <c r="B15" s="36" t="inlineStr">
        <is>
          <t>WO-ID</t>
        </is>
      </c>
      <c r="C15" s="36" t="inlineStr">
        <is>
          <t>Unit</t>
        </is>
      </c>
      <c r="D15" s="36" t="inlineStr">
        <is>
          <t>Priority</t>
        </is>
      </c>
      <c r="E15" s="36" t="inlineStr">
        <is>
          <t>Days left</t>
        </is>
      </c>
      <c r="F15" s="36" t="inlineStr"/>
    </row>
    <row r="16" ht="20" customHeight="1">
      <c r="A16">
        <f>IFERROR(MATCH(1,'Work Orders'!$N$2:$N$500,0)+1,"")</f>
        <v/>
      </c>
      <c r="B16" s="37">
        <f>IF($A16="","",INDEX('Work Orders'!A:A,$A16))</f>
        <v/>
      </c>
      <c r="C16" s="37">
        <f>IF($A16="","",INDEX('Work Orders'!C:C,$A16))</f>
        <v/>
      </c>
      <c r="D16" s="37">
        <f>IF($A16="","",INDEX('Work Orders'!E:E,$A16))</f>
        <v/>
      </c>
      <c r="E16" s="37">
        <f>IF($A16="","",INDEX('Work Orders'!J:J,$A16)-INDEX('Work Orders'!K:K,$A16))</f>
        <v/>
      </c>
      <c r="F16" s="38">
        <f>IF($A16="","",HYPERLINK("#'Work Orders'!A"&amp;$A16,"Open →"))</f>
        <v/>
      </c>
    </row>
    <row r="17" ht="20" customHeight="1">
      <c r="A17">
        <f>IFERROR(MATCH(2,'Work Orders'!$N$2:$N$500,0)+1,"")</f>
        <v/>
      </c>
      <c r="B17" s="37">
        <f>IF($A17="","",INDEX('Work Orders'!A:A,$A17))</f>
        <v/>
      </c>
      <c r="C17" s="37">
        <f>IF($A17="","",INDEX('Work Orders'!C:C,$A17))</f>
        <v/>
      </c>
      <c r="D17" s="37">
        <f>IF($A17="","",INDEX('Work Orders'!E:E,$A17))</f>
        <v/>
      </c>
      <c r="E17" s="37">
        <f>IF($A17="","",INDEX('Work Orders'!J:J,$A17)-INDEX('Work Orders'!K:K,$A17))</f>
        <v/>
      </c>
      <c r="F17" s="38">
        <f>IF($A17="","",HYPERLINK("#'Work Orders'!A"&amp;$A17,"Open →"))</f>
        <v/>
      </c>
    </row>
    <row r="18" ht="20" customHeight="1">
      <c r="A18">
        <f>IFERROR(MATCH(3,'Work Orders'!$N$2:$N$500,0)+1,"")</f>
        <v/>
      </c>
      <c r="B18" s="37">
        <f>IF($A18="","",INDEX('Work Orders'!A:A,$A18))</f>
        <v/>
      </c>
      <c r="C18" s="37">
        <f>IF($A18="","",INDEX('Work Orders'!C:C,$A18))</f>
        <v/>
      </c>
      <c r="D18" s="37">
        <f>IF($A18="","",INDEX('Work Orders'!E:E,$A18))</f>
        <v/>
      </c>
      <c r="E18" s="37">
        <f>IF($A18="","",INDEX('Work Orders'!J:J,$A18)-INDEX('Work Orders'!K:K,$A18))</f>
        <v/>
      </c>
      <c r="F18" s="38">
        <f>IF($A18="","",HYPERLINK("#'Work Orders'!A"&amp;$A18,"Open →"))</f>
        <v/>
      </c>
    </row>
    <row r="19" ht="20" customHeight="1">
      <c r="A19">
        <f>IFERROR(MATCH(4,'Work Orders'!$N$2:$N$500,0)+1,"")</f>
        <v/>
      </c>
      <c r="B19" s="37">
        <f>IF($A19="","",INDEX('Work Orders'!A:A,$A19))</f>
        <v/>
      </c>
      <c r="C19" s="37">
        <f>IF($A19="","",INDEX('Work Orders'!C:C,$A19))</f>
        <v/>
      </c>
      <c r="D19" s="37">
        <f>IF($A19="","",INDEX('Work Orders'!E:E,$A19))</f>
        <v/>
      </c>
      <c r="E19" s="37">
        <f>IF($A19="","",INDEX('Work Orders'!J:J,$A19)-INDEX('Work Orders'!K:K,$A19))</f>
        <v/>
      </c>
      <c r="F19" s="38">
        <f>IF($A19="","",HYPERLINK("#'Work Orders'!A"&amp;$A19,"Open →"))</f>
        <v/>
      </c>
    </row>
    <row r="20" ht="20" customHeight="1">
      <c r="A20">
        <f>IFERROR(MATCH(5,'Work Orders'!$N$2:$N$500,0)+1,"")</f>
        <v/>
      </c>
      <c r="B20" s="37">
        <f>IF($A20="","",INDEX('Work Orders'!A:A,$A20))</f>
        <v/>
      </c>
      <c r="C20" s="37">
        <f>IF($A20="","",INDEX('Work Orders'!C:C,$A20))</f>
        <v/>
      </c>
      <c r="D20" s="37">
        <f>IF($A20="","",INDEX('Work Orders'!E:E,$A20))</f>
        <v/>
      </c>
      <c r="E20" s="37">
        <f>IF($A20="","",INDEX('Work Orders'!J:J,$A20)-INDEX('Work Orders'!K:K,$A20))</f>
        <v/>
      </c>
      <c r="F20" s="38">
        <f>IF($A20="","",HYPERLINK("#'Work Orders'!A"&amp;$A20,"Open →"))</f>
        <v/>
      </c>
    </row>
    <row r="21" ht="20" customHeight="1">
      <c r="A21">
        <f>IFERROR(MATCH(6,'Work Orders'!$N$2:$N$500,0)+1,"")</f>
        <v/>
      </c>
      <c r="B21" s="37">
        <f>IF($A21="","",INDEX('Work Orders'!A:A,$A21))</f>
        <v/>
      </c>
      <c r="C21" s="37">
        <f>IF($A21="","",INDEX('Work Orders'!C:C,$A21))</f>
        <v/>
      </c>
      <c r="D21" s="37">
        <f>IF($A21="","",INDEX('Work Orders'!E:E,$A21))</f>
        <v/>
      </c>
      <c r="E21" s="37">
        <f>IF($A21="","",INDEX('Work Orders'!J:J,$A21)-INDEX('Work Orders'!K:K,$A21))</f>
        <v/>
      </c>
      <c r="F21" s="38">
        <f>IF($A21="","",HYPERLINK("#'Work Orders'!A"&amp;$A21,"Open →"))</f>
        <v/>
      </c>
    </row>
    <row r="23" ht="26" customHeight="1">
      <c r="B23" s="40" t="inlineStr">
        <is>
          <t>📦  FOLLOW-UPS DUE — within 2 days, still open</t>
        </is>
      </c>
    </row>
    <row r="24" ht="30" customHeight="1">
      <c r="B24" s="36" t="inlineStr">
        <is>
          <t>Follow-up</t>
        </is>
      </c>
      <c r="C24" s="36" t="inlineStr">
        <is>
          <t>Unit</t>
        </is>
      </c>
      <c r="D24" s="36" t="inlineStr">
        <is>
          <t>Category</t>
        </is>
      </c>
      <c r="E24" s="36" t="inlineStr">
        <is>
          <t>Severity</t>
        </is>
      </c>
      <c r="F24" s="36" t="inlineStr"/>
    </row>
    <row r="25" ht="20" customHeight="1">
      <c r="A25">
        <f>IFERROR(MATCH(1,'Service Recovery'!$K$2:$K$500,0)+1,"")</f>
        <v/>
      </c>
      <c r="B25" s="41">
        <f>IF($A25="","",INDEX('Service Recovery'!I:I,$A25))</f>
        <v/>
      </c>
      <c r="C25" s="37">
        <f>IF($A25="","",INDEX('Service Recovery'!B:B,$A25))</f>
        <v/>
      </c>
      <c r="D25" s="37">
        <f>IF($A25="","",INDEX('Service Recovery'!C:C,$A25))</f>
        <v/>
      </c>
      <c r="E25" s="37">
        <f>IF($A25="","",INDEX('Service Recovery'!E:E,$A25))</f>
        <v/>
      </c>
      <c r="F25" s="38">
        <f>IF($A25="","",HYPERLINK("#'Service Recovery'!A"&amp;$A25,"Open →"))</f>
        <v/>
      </c>
    </row>
    <row r="26" ht="20" customHeight="1">
      <c r="A26">
        <f>IFERROR(MATCH(2,'Service Recovery'!$K$2:$K$500,0)+1,"")</f>
        <v/>
      </c>
      <c r="B26" s="41">
        <f>IF($A26="","",INDEX('Service Recovery'!I:I,$A26))</f>
        <v/>
      </c>
      <c r="C26" s="37">
        <f>IF($A26="","",INDEX('Service Recovery'!B:B,$A26))</f>
        <v/>
      </c>
      <c r="D26" s="37">
        <f>IF($A26="","",INDEX('Service Recovery'!C:C,$A26))</f>
        <v/>
      </c>
      <c r="E26" s="37">
        <f>IF($A26="","",INDEX('Service Recovery'!E:E,$A26))</f>
        <v/>
      </c>
      <c r="F26" s="38">
        <f>IF($A26="","",HYPERLINK("#'Service Recovery'!A"&amp;$A26,"Open →"))</f>
        <v/>
      </c>
    </row>
    <row r="27" ht="20" customHeight="1">
      <c r="A27">
        <f>IFERROR(MATCH(3,'Service Recovery'!$K$2:$K$500,0)+1,"")</f>
        <v/>
      </c>
      <c r="B27" s="41">
        <f>IF($A27="","",INDEX('Service Recovery'!I:I,$A27))</f>
        <v/>
      </c>
      <c r="C27" s="37">
        <f>IF($A27="","",INDEX('Service Recovery'!B:B,$A27))</f>
        <v/>
      </c>
      <c r="D27" s="37">
        <f>IF($A27="","",INDEX('Service Recovery'!C:C,$A27))</f>
        <v/>
      </c>
      <c r="E27" s="37">
        <f>IF($A27="","",INDEX('Service Recovery'!E:E,$A27))</f>
        <v/>
      </c>
      <c r="F27" s="38">
        <f>IF($A27="","",HYPERLINK("#'Service Recovery'!A"&amp;$A27,"Open →"))</f>
        <v/>
      </c>
    </row>
    <row r="28" ht="20" customHeight="1">
      <c r="A28">
        <f>IFERROR(MATCH(4,'Service Recovery'!$K$2:$K$500,0)+1,"")</f>
        <v/>
      </c>
      <c r="B28" s="41">
        <f>IF($A28="","",INDEX('Service Recovery'!I:I,$A28))</f>
        <v/>
      </c>
      <c r="C28" s="37">
        <f>IF($A28="","",INDEX('Service Recovery'!B:B,$A28))</f>
        <v/>
      </c>
      <c r="D28" s="37">
        <f>IF($A28="","",INDEX('Service Recovery'!C:C,$A28))</f>
        <v/>
      </c>
      <c r="E28" s="37">
        <f>IF($A28="","",INDEX('Service Recovery'!E:E,$A28))</f>
        <v/>
      </c>
      <c r="F28" s="38">
        <f>IF($A28="","",HYPERLINK("#'Service Recovery'!A"&amp;$A28,"Open →"))</f>
        <v/>
      </c>
    </row>
    <row r="29" ht="20" customHeight="1">
      <c r="A29">
        <f>IFERROR(MATCH(5,'Service Recovery'!$K$2:$K$500,0)+1,"")</f>
        <v/>
      </c>
      <c r="B29" s="41">
        <f>IF($A29="","",INDEX('Service Recovery'!I:I,$A29))</f>
        <v/>
      </c>
      <c r="C29" s="37">
        <f>IF($A29="","",INDEX('Service Recovery'!B:B,$A29))</f>
        <v/>
      </c>
      <c r="D29" s="37">
        <f>IF($A29="","",INDEX('Service Recovery'!C:C,$A29))</f>
        <v/>
      </c>
      <c r="E29" s="37">
        <f>IF($A29="","",INDEX('Service Recovery'!E:E,$A29))</f>
        <v/>
      </c>
      <c r="F29" s="38">
        <f>IF($A29="","",HYPERLINK("#'Service Recovery'!A"&amp;$A29,"Open →"))</f>
        <v/>
      </c>
    </row>
    <row r="30" ht="20" customHeight="1">
      <c r="A30">
        <f>IFERROR(MATCH(6,'Service Recovery'!$K$2:$K$500,0)+1,"")</f>
        <v/>
      </c>
      <c r="B30" s="41">
        <f>IF($A30="","",INDEX('Service Recovery'!I:I,$A30))</f>
        <v/>
      </c>
      <c r="C30" s="37">
        <f>IF($A30="","",INDEX('Service Recovery'!B:B,$A30))</f>
        <v/>
      </c>
      <c r="D30" s="37">
        <f>IF($A30="","",INDEX('Service Recovery'!C:C,$A30))</f>
        <v/>
      </c>
      <c r="E30" s="37">
        <f>IF($A30="","",INDEX('Service Recovery'!E:E,$A30))</f>
        <v/>
      </c>
      <c r="F30" s="38">
        <f>IF($A30="","",HYPERLINK("#'Service Recovery'!A"&amp;$A30,"Open →"))</f>
        <v/>
      </c>
    </row>
    <row r="32" ht="26" customHeight="1">
      <c r="B32" s="42" t="inlineStr">
        <is>
          <t>🏠  TURNOVER — QC failed, needs rework</t>
        </is>
      </c>
    </row>
    <row r="33" ht="30" customHeight="1">
      <c r="B33" s="36" t="inlineStr">
        <is>
          <t>Unit</t>
        </is>
      </c>
      <c r="C33" s="36" t="inlineStr">
        <is>
          <t>Building</t>
        </is>
      </c>
      <c r="D33" s="36" t="inlineStr">
        <is>
          <t>Top deficiency</t>
        </is>
      </c>
      <c r="E33" s="36" t="inlineStr">
        <is>
          <t>Deficiencies</t>
        </is>
      </c>
      <c r="F33" s="36" t="inlineStr"/>
    </row>
    <row r="34" ht="20" customHeight="1">
      <c r="A34">
        <f>IFERROR(MATCH(1,Turnover!$K$2:$K$500,0)+1,"")</f>
        <v/>
      </c>
      <c r="B34" s="37">
        <f>IF($A34="","",INDEX('Turnover'!A:A,$A34))</f>
        <v/>
      </c>
      <c r="C34" s="37">
        <f>IF($A34="","",INDEX('Turnover'!B:B,$A34))</f>
        <v/>
      </c>
      <c r="D34" s="37">
        <f>IF($A34="","",INDEX('Turnover'!G:G,$A34))</f>
        <v/>
      </c>
      <c r="E34" s="37">
        <f>IF($A34="","",INDEX('Turnover'!F:F,$A34))</f>
        <v/>
      </c>
      <c r="F34" s="38">
        <f>IF($A34="","",HYPERLINK("#'Turnover'!A"&amp;$A34,"Open →"))</f>
        <v/>
      </c>
    </row>
    <row r="35" ht="20" customHeight="1">
      <c r="A35">
        <f>IFERROR(MATCH(2,Turnover!$K$2:$K$500,0)+1,"")</f>
        <v/>
      </c>
      <c r="B35" s="37">
        <f>IF($A35="","",INDEX('Turnover'!A:A,$A35))</f>
        <v/>
      </c>
      <c r="C35" s="37">
        <f>IF($A35="","",INDEX('Turnover'!B:B,$A35))</f>
        <v/>
      </c>
      <c r="D35" s="37">
        <f>IF($A35="","",INDEX('Turnover'!G:G,$A35))</f>
        <v/>
      </c>
      <c r="E35" s="37">
        <f>IF($A35="","",INDEX('Turnover'!F:F,$A35))</f>
        <v/>
      </c>
      <c r="F35" s="38">
        <f>IF($A35="","",HYPERLINK("#'Turnover'!A"&amp;$A35,"Open →"))</f>
        <v/>
      </c>
    </row>
    <row r="36" ht="20" customHeight="1">
      <c r="A36">
        <f>IFERROR(MATCH(3,Turnover!$K$2:$K$500,0)+1,"")</f>
        <v/>
      </c>
      <c r="B36" s="37">
        <f>IF($A36="","",INDEX('Turnover'!A:A,$A36))</f>
        <v/>
      </c>
      <c r="C36" s="37">
        <f>IF($A36="","",INDEX('Turnover'!B:B,$A36))</f>
        <v/>
      </c>
      <c r="D36" s="37">
        <f>IF($A36="","",INDEX('Turnover'!G:G,$A36))</f>
        <v/>
      </c>
      <c r="E36" s="37">
        <f>IF($A36="","",INDEX('Turnover'!F:F,$A36))</f>
        <v/>
      </c>
      <c r="F36" s="38">
        <f>IF($A36="","",HYPERLINK("#'Turnover'!A"&amp;$A36,"Open →"))</f>
        <v/>
      </c>
    </row>
    <row r="37" ht="20" customHeight="1">
      <c r="A37">
        <f>IFERROR(MATCH(4,Turnover!$K$2:$K$500,0)+1,"")</f>
        <v/>
      </c>
      <c r="B37" s="37">
        <f>IF($A37="","",INDEX('Turnover'!A:A,$A37))</f>
        <v/>
      </c>
      <c r="C37" s="37">
        <f>IF($A37="","",INDEX('Turnover'!B:B,$A37))</f>
        <v/>
      </c>
      <c r="D37" s="37">
        <f>IF($A37="","",INDEX('Turnover'!G:G,$A37))</f>
        <v/>
      </c>
      <c r="E37" s="37">
        <f>IF($A37="","",INDEX('Turnover'!F:F,$A37))</f>
        <v/>
      </c>
      <c r="F37" s="38">
        <f>IF($A37="","",HYPERLINK("#'Turnover'!A"&amp;$A37,"Open →"))</f>
        <v/>
      </c>
    </row>
    <row r="38" ht="20" customHeight="1">
      <c r="A38">
        <f>IFERROR(MATCH(5,Turnover!$K$2:$K$500,0)+1,"")</f>
        <v/>
      </c>
      <c r="B38" s="37">
        <f>IF($A38="","",INDEX('Turnover'!A:A,$A38))</f>
        <v/>
      </c>
      <c r="C38" s="37">
        <f>IF($A38="","",INDEX('Turnover'!B:B,$A38))</f>
        <v/>
      </c>
      <c r="D38" s="37">
        <f>IF($A38="","",INDEX('Turnover'!G:G,$A38))</f>
        <v/>
      </c>
      <c r="E38" s="37">
        <f>IF($A38="","",INDEX('Turnover'!F:F,$A38))</f>
        <v/>
      </c>
      <c r="F38" s="38">
        <f>IF($A38="","",HYPERLINK("#'Turnover'!A"&amp;$A38,"Open →"))</f>
        <v/>
      </c>
    </row>
    <row r="40" ht="26" customHeight="1">
      <c r="B40" s="43" t="inlineStr">
        <is>
          <t>🔑  RENEWAL OUTREACH — intent unknown or undecided</t>
        </is>
      </c>
    </row>
    <row r="41" ht="30" customHeight="1">
      <c r="B41" s="36" t="inlineStr">
        <is>
          <t>Unit</t>
        </is>
      </c>
      <c r="C41" s="36" t="inlineStr">
        <is>
          <t>Lease end</t>
        </is>
      </c>
      <c r="D41" s="36" t="inlineStr">
        <is>
          <t>Intent</t>
        </is>
      </c>
      <c r="E41" s="36" t="inlineStr">
        <is>
          <t>Touches</t>
        </is>
      </c>
      <c r="F41" s="36" t="inlineStr"/>
    </row>
    <row r="42" ht="20" customHeight="1">
      <c r="A42">
        <f>IFERROR(MATCH(1,Retention!$J$2:$J$500,0)+1,"")</f>
        <v/>
      </c>
      <c r="B42" s="37">
        <f>IF($A42="","",INDEX('Retention'!A:A,$A42))</f>
        <v/>
      </c>
      <c r="C42" s="41">
        <f>IF($A42="","",INDEX('Retention'!C:C,$A42))</f>
        <v/>
      </c>
      <c r="D42" s="37">
        <f>IF($A42="","",INDEX('Retention'!G:G,$A42))</f>
        <v/>
      </c>
      <c r="E42" s="37">
        <f>IF($A42="","",INDEX('Retention'!F:F,$A42))</f>
        <v/>
      </c>
      <c r="F42" s="38">
        <f>IF($A42="","",HYPERLINK("#'Retention'!A"&amp;$A42,"Open →"))</f>
        <v/>
      </c>
    </row>
    <row r="43" ht="20" customHeight="1">
      <c r="A43">
        <f>IFERROR(MATCH(2,Retention!$J$2:$J$500,0)+1,"")</f>
        <v/>
      </c>
      <c r="B43" s="37">
        <f>IF($A43="","",INDEX('Retention'!A:A,$A43))</f>
        <v/>
      </c>
      <c r="C43" s="41">
        <f>IF($A43="","",INDEX('Retention'!C:C,$A43))</f>
        <v/>
      </c>
      <c r="D43" s="37">
        <f>IF($A43="","",INDEX('Retention'!G:G,$A43))</f>
        <v/>
      </c>
      <c r="E43" s="37">
        <f>IF($A43="","",INDEX('Retention'!F:F,$A43))</f>
        <v/>
      </c>
      <c r="F43" s="38">
        <f>IF($A43="","",HYPERLINK("#'Retention'!A"&amp;$A43,"Open →"))</f>
        <v/>
      </c>
    </row>
    <row r="44" ht="20" customHeight="1">
      <c r="A44">
        <f>IFERROR(MATCH(3,Retention!$J$2:$J$500,0)+1,"")</f>
        <v/>
      </c>
      <c r="B44" s="37">
        <f>IF($A44="","",INDEX('Retention'!A:A,$A44))</f>
        <v/>
      </c>
      <c r="C44" s="41">
        <f>IF($A44="","",INDEX('Retention'!C:C,$A44))</f>
        <v/>
      </c>
      <c r="D44" s="37">
        <f>IF($A44="","",INDEX('Retention'!G:G,$A44))</f>
        <v/>
      </c>
      <c r="E44" s="37">
        <f>IF($A44="","",INDEX('Retention'!F:F,$A44))</f>
        <v/>
      </c>
      <c r="F44" s="38">
        <f>IF($A44="","",HYPERLINK("#'Retention'!A"&amp;$A44,"Open →"))</f>
        <v/>
      </c>
    </row>
    <row r="45" ht="20" customHeight="1">
      <c r="A45">
        <f>IFERROR(MATCH(4,Retention!$J$2:$J$500,0)+1,"")</f>
        <v/>
      </c>
      <c r="B45" s="37">
        <f>IF($A45="","",INDEX('Retention'!A:A,$A45))</f>
        <v/>
      </c>
      <c r="C45" s="41">
        <f>IF($A45="","",INDEX('Retention'!C:C,$A45))</f>
        <v/>
      </c>
      <c r="D45" s="37">
        <f>IF($A45="","",INDEX('Retention'!G:G,$A45))</f>
        <v/>
      </c>
      <c r="E45" s="37">
        <f>IF($A45="","",INDEX('Retention'!F:F,$A45))</f>
        <v/>
      </c>
      <c r="F45" s="38">
        <f>IF($A45="","",HYPERLINK("#'Retention'!A"&amp;$A45,"Open →"))</f>
        <v/>
      </c>
    </row>
    <row r="46" ht="20" customHeight="1">
      <c r="A46">
        <f>IFERROR(MATCH(5,Retention!$J$2:$J$500,0)+1,"")</f>
        <v/>
      </c>
      <c r="B46" s="37">
        <f>IF($A46="","",INDEX('Retention'!A:A,$A46))</f>
        <v/>
      </c>
      <c r="C46" s="41">
        <f>IF($A46="","",INDEX('Retention'!C:C,$A46))</f>
        <v/>
      </c>
      <c r="D46" s="37">
        <f>IF($A46="","",INDEX('Retention'!G:G,$A46))</f>
        <v/>
      </c>
      <c r="E46" s="37">
        <f>IF($A46="","",INDEX('Retention'!F:F,$A46))</f>
        <v/>
      </c>
      <c r="F46" s="38">
        <f>IF($A46="","",HYPERLINK("#'Retention'!A"&amp;$A46,"Open →"))</f>
        <v/>
      </c>
    </row>
    <row r="47" ht="20" customHeight="1">
      <c r="A47">
        <f>IFERROR(MATCH(6,Retention!$J$2:$J$500,0)+1,"")</f>
        <v/>
      </c>
      <c r="B47" s="37">
        <f>IF($A47="","",INDEX('Retention'!A:A,$A47))</f>
        <v/>
      </c>
      <c r="C47" s="41">
        <f>IF($A47="","",INDEX('Retention'!C:C,$A47))</f>
        <v/>
      </c>
      <c r="D47" s="37">
        <f>IF($A47="","",INDEX('Retention'!G:G,$A47))</f>
        <v/>
      </c>
      <c r="E47" s="37">
        <f>IF($A47="","",INDEX('Retention'!F:F,$A47))</f>
        <v/>
      </c>
      <c r="F47" s="38">
        <f>IF($A47="","",HYPERLINK("#'Retention'!A"&amp;$A47,"Open →"))</f>
        <v/>
      </c>
    </row>
    <row r="48" ht="20" customHeight="1">
      <c r="A48">
        <f>IFERROR(MATCH(7,Retention!$J$2:$J$500,0)+1,"")</f>
        <v/>
      </c>
      <c r="B48" s="37">
        <f>IF($A48="","",INDEX('Retention'!A:A,$A48))</f>
        <v/>
      </c>
      <c r="C48" s="41">
        <f>IF($A48="","",INDEX('Retention'!C:C,$A48))</f>
        <v/>
      </c>
      <c r="D48" s="37">
        <f>IF($A48="","",INDEX('Retention'!G:G,$A48))</f>
        <v/>
      </c>
      <c r="E48" s="37">
        <f>IF($A48="","",INDEX('Retention'!F:F,$A48))</f>
        <v/>
      </c>
      <c r="F48" s="38">
        <f>IF($A48="","",HYPERLINK("#'Retention'!A"&amp;$A48,"Open →"))</f>
        <v/>
      </c>
    </row>
    <row r="49" ht="20" customHeight="1">
      <c r="A49">
        <f>IFERROR(MATCH(8,Retention!$J$2:$J$500,0)+1,"")</f>
        <v/>
      </c>
      <c r="B49" s="37">
        <f>IF($A49="","",INDEX('Retention'!A:A,$A49))</f>
        <v/>
      </c>
      <c r="C49" s="41">
        <f>IF($A49="","",INDEX('Retention'!C:C,$A49))</f>
        <v/>
      </c>
      <c r="D49" s="37">
        <f>IF($A49="","",INDEX('Retention'!G:G,$A49))</f>
        <v/>
      </c>
      <c r="E49" s="37">
        <f>IF($A49="","",INDEX('Retention'!F:F,$A49))</f>
        <v/>
      </c>
      <c r="F49" s="38">
        <f>IF($A49="","",HYPERLINK("#'Retention'!A"&amp;$A49,"Open →"))</f>
        <v/>
      </c>
    </row>
  </sheetData>
  <mergeCells count="7">
    <mergeCell ref="B2:G2"/>
    <mergeCell ref="B3:F3"/>
    <mergeCell ref="B1:G1"/>
    <mergeCell ref="B23:F23"/>
    <mergeCell ref="B14:F14"/>
    <mergeCell ref="B32:F32"/>
    <mergeCell ref="B40:F40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5"/>
  <cols>
    <col width="16" customWidth="1" min="1" max="1"/>
    <col width="130" customWidth="1" min="2" max="2"/>
  </cols>
  <sheetData>
    <row r="1">
      <c r="A1" s="1" t="inlineStr">
        <is>
          <t>Property Operations Toolkit</t>
        </is>
      </c>
    </row>
    <row r="2">
      <c r="A2" s="2" t="inlineStr">
        <is>
          <t>Proof of concept · Jordan S. Williams · Resident Experience Specialist (Shift Lead)</t>
        </is>
      </c>
    </row>
    <row r="4">
      <c r="A4" s="3" t="inlineStr">
        <is>
          <t>All data on this sheet is fictional sample data for demonstration purposes. Replace with live property data to use operationally.</t>
        </is>
      </c>
    </row>
    <row r="6">
      <c r="A6" s="4" t="inlineStr">
        <is>
          <t>Dashboard</t>
        </is>
      </c>
      <c r="B6" s="5" t="inlineStr">
        <is>
          <t>Live KPI summary. Every metric is a formula reading the tracker sheets — no manual tallying.</t>
        </is>
      </c>
    </row>
    <row r="7">
      <c r="A7" s="4" t="inlineStr">
        <is>
          <t>Work Orders</t>
        </is>
      </c>
      <c r="B7" s="5" t="inlineStr">
        <is>
          <t>Full work-order lifecycle: intake → assignment → SLA tracking → close. SLA targets set automatically by priority (Emergency 1d, High 3d, Standard 7d, Low 14d); status flags Breached / At Risk / On Track in real time.</t>
        </is>
      </c>
    </row>
    <row r="8">
      <c r="A8" s="4" t="inlineStr">
        <is>
          <t>Turnover</t>
        </is>
      </c>
      <c r="B8" s="5" t="inlineStr">
        <is>
          <t>Unit make-ready pipeline for move-in surges: inspection → deficiencies → QC → ready. Built for high-volume turnover like a 2,224-unit surge.</t>
        </is>
      </c>
    </row>
    <row r="9">
      <c r="A9" s="4" t="inlineStr">
        <is>
          <t>Retention</t>
        </is>
      </c>
      <c r="B9" s="5" t="inlineStr">
        <is>
          <t>Lease-renewal pipeline: offer sent, outreach touches, resident intent, and at-risk reasons. Retention rate calculated on decided units only.</t>
        </is>
      </c>
    </row>
    <row r="10">
      <c r="A10" s="4" t="inlineStr">
        <is>
          <t>Service Recovery</t>
        </is>
      </c>
      <c r="B10" s="5" t="inlineStr">
        <is>
          <t>Resident experience log: issue → owner → action → follow-up → satisfaction score. Closes the loop on service failures.</t>
        </is>
      </c>
    </row>
    <row r="11" ht="30" customHeight="1">
      <c r="A11" s="44" t="inlineStr">
        <is>
          <t>Home</t>
        </is>
      </c>
      <c r="B11" s="45" t="inlineStr">
        <is>
          <t>App-style launcher: live pulse stats and one-click navigation buttons to every tracker.</t>
        </is>
      </c>
    </row>
    <row r="12" ht="30" customHeight="1">
      <c r="A12" s="44" t="inlineStr">
        <is>
          <t>Action Center</t>
        </is>
      </c>
      <c r="B12" s="45" t="inlineStr">
        <is>
          <t>Your daily priority queue — SLA breaches, at-risk items, due follow-ups, QC failures, and renewal outreach surface automatically via hidden _seq_ helpers. Fix the source row; this page updates itself.</t>
        </is>
      </c>
    </row>
    <row r="13" ht="30" customHeight="1">
      <c r="A13" s="44" t="inlineStr">
        <is>
          <t>Weekly Report</t>
        </is>
      </c>
      <c r="B13" s="45" t="inlineStr">
        <is>
          <t>Print-ready one-pager for standup or 1:1s: this week's numbers plus the top 3 breaches. Every value is a live formula.</t>
        </is>
      </c>
    </row>
    <row r="14" ht="30" customHeight="1">
      <c r="A14" s="44" t="inlineStr"/>
      <c r="B14" s="45" t="inlineStr"/>
    </row>
    <row r="15">
      <c r="A15" s="6" t="inlineStr"/>
      <c r="B15" s="5" t="inlineStr"/>
    </row>
    <row r="16">
      <c r="A16" s="6" t="inlineStr">
        <is>
          <t>How to use it:</t>
        </is>
      </c>
      <c r="B16" s="5" t="inlineStr"/>
    </row>
    <row r="17">
      <c r="A17" s="4" t="inlineStr">
        <is>
          <t>1.</t>
        </is>
      </c>
      <c r="B17" s="5" t="inlineStr">
        <is>
          <t>Replace the sample rows with live data (keep the header row and formulas).</t>
        </is>
      </c>
    </row>
    <row r="18">
      <c r="A18" s="4" t="inlineStr">
        <is>
          <t>2.</t>
        </is>
      </c>
      <c r="B18" s="5" t="inlineStr">
        <is>
          <t>Use the dropdowns — they enforce clean categories for reporting.</t>
        </is>
      </c>
    </row>
    <row r="19">
      <c r="A19" s="4" t="inlineStr">
        <is>
          <t>3.</t>
        </is>
      </c>
      <c r="B19" s="5" t="inlineStr">
        <is>
          <t>Watch the Dashboard: it updates itself as trackers change.</t>
        </is>
      </c>
    </row>
    <row r="20">
      <c r="A20" s="4" t="inlineStr">
        <is>
          <t>4.</t>
        </is>
      </c>
      <c r="B20" s="5" t="inlineStr">
        <is>
          <t>Extend it: add sheets per building, pivot the trackers monthly, or feed the data into a BI tool.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L2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Operations Dashboard</t>
        </is>
      </c>
    </row>
    <row r="2">
      <c r="A2" s="2" t="inlineStr">
        <is>
          <t>Live KPIs — every value below is a formula. Sample data.</t>
        </is>
      </c>
      <c r="D2" s="46" t="inlineStr">
        <is>
          <t>Charts update live from the trackers — see the Action Center for what needs you today →</t>
        </is>
      </c>
    </row>
    <row r="4">
      <c r="A4" s="7" t="inlineStr">
        <is>
          <t>WORK ORDERS</t>
        </is>
      </c>
    </row>
    <row r="5">
      <c r="A5" s="8" t="inlineStr">
        <is>
          <t>Open work orders</t>
        </is>
      </c>
      <c r="B5" s="9">
        <f>COUNTIFS('Work Orders'!H2:H500,"Open")+COUNTIFS('Work Orders'!H2:H500,"In Progress")+COUNTIFS('Work Orders'!H2:H500,"Waiting on Parts")</f>
        <v/>
      </c>
    </row>
    <row r="6">
      <c r="A6" s="8" t="inlineStr">
        <is>
          <t>SLA breaches (open)</t>
        </is>
      </c>
      <c r="B6" s="9">
        <f>COUNTIFS('Work Orders'!L2:L500,"Breached")</f>
        <v/>
      </c>
    </row>
    <row r="7">
      <c r="A7" s="8" t="inlineStr">
        <is>
          <t>At risk of breach</t>
        </is>
      </c>
      <c r="B7" s="9">
        <f>COUNTIFS('Work Orders'!L2:L500,"At Risk")</f>
        <v/>
      </c>
    </row>
    <row r="8">
      <c r="A8" s="8" t="inlineStr">
        <is>
          <t>Emergency orders open</t>
        </is>
      </c>
      <c r="B8" s="9">
        <f>COUNTIFS('Work Orders'!E2:E500,"Emergency",'Work Orders'!H2:H500,"&lt;&gt;Closed")</f>
        <v/>
      </c>
    </row>
    <row r="9">
      <c r="A9" s="8" t="inlineStr">
        <is>
          <t>Avg days to close</t>
        </is>
      </c>
      <c r="B9" s="9">
        <f>IFERROR(ROUND(AVERAGEIFS('Work Orders'!K2:K500,'Work Orders'!H2:H500,"Closed"),1),"—")</f>
        <v/>
      </c>
    </row>
    <row r="10">
      <c r="A10" s="7" t="inlineStr">
        <is>
          <t>TURNOVER</t>
        </is>
      </c>
    </row>
    <row r="11">
      <c r="A11" s="8" t="inlineStr">
        <is>
          <t>Units tracked</t>
        </is>
      </c>
      <c r="B11" s="9">
        <f>COUNTA(Turnover!A2:A500)</f>
        <v/>
      </c>
    </row>
    <row r="12">
      <c r="A12" s="8" t="inlineStr">
        <is>
          <t>Units ready / QC-ready</t>
        </is>
      </c>
      <c r="B12" s="9">
        <f>COUNTIFS(Turnover!H2:H500,"Ready")+COUNTIFS(Turnover!H2:H500,"Ready for QC")</f>
        <v/>
      </c>
    </row>
    <row r="13">
      <c r="A13" s="8" t="inlineStr">
        <is>
          <t>% ready</t>
        </is>
      </c>
      <c r="B13" s="10">
        <f>IFERROR((COUNTIFS(Turnover!H2:H500,"Ready")+COUNTIFS(Turnover!H2:H500,"Ready for QC"))/COUNTA(Turnover!A2:A500),0)</f>
        <v/>
      </c>
    </row>
    <row r="14">
      <c r="A14" s="8" t="inlineStr">
        <is>
          <t>Avg days move-out → ready</t>
        </is>
      </c>
      <c r="B14" s="9">
        <f>IFERROR(ROUND(AVERAGE(Turnover!K2:K500),1),"—")</f>
        <v/>
      </c>
    </row>
    <row r="15">
      <c r="A15" s="7" t="inlineStr">
        <is>
          <t>RETENTION</t>
        </is>
      </c>
    </row>
    <row r="16">
      <c r="A16" s="8" t="inlineStr">
        <is>
          <t>Leases tracked</t>
        </is>
      </c>
      <c r="B16" s="9">
        <f>COUNTA(Retention!A2:A500)</f>
        <v/>
      </c>
    </row>
    <row r="17">
      <c r="A17" s="8" t="inlineStr">
        <is>
          <t>Renewing</t>
        </is>
      </c>
      <c r="B17" s="9">
        <f>COUNTIFS(Retention!G2:G500,"Renewing")</f>
        <v/>
      </c>
    </row>
    <row r="18">
      <c r="A18" s="8" t="inlineStr">
        <is>
          <t>At-risk (undecided + leaving)</t>
        </is>
      </c>
      <c r="B18" s="9">
        <f>COUNTIFS(Retention!G2:G500,"Undecided")+COUNTIFS(Retention!G2:G500,"Not Renewing")</f>
        <v/>
      </c>
    </row>
    <row r="19">
      <c r="A19" s="8" t="inlineStr">
        <is>
          <t>Retention rate (decided)</t>
        </is>
      </c>
      <c r="B19" s="10">
        <f>IFERROR(COUNTIFS(Retention!G2:G500,"Renewing")/COUNTIFS(Retention!G2:G500,"&lt;&gt;Unknown",Retention!G2:G500,"&lt;&gt;"),0)</f>
        <v/>
      </c>
    </row>
    <row r="20">
      <c r="A20" s="7" t="inlineStr">
        <is>
          <t>SERVICE RECOVERY</t>
        </is>
      </c>
    </row>
    <row r="21">
      <c r="A21" s="8" t="inlineStr">
        <is>
          <t>Open recovery items</t>
        </is>
      </c>
      <c r="B21" s="9">
        <f>COUNTIFS('Service Recovery'!H2:H500,"No")</f>
        <v/>
      </c>
    </row>
    <row r="22">
      <c r="A22" s="8" t="inlineStr">
        <is>
          <t>Avg satisfaction (resolved)</t>
        </is>
      </c>
      <c r="B22" s="9">
        <f>IFERROR(ROUND(AVERAGE('Service Recovery'!J2:J500),2),"—")</f>
        <v/>
      </c>
    </row>
    <row r="24">
      <c r="A24" t="inlineStr">
        <is>
          <t>Last updated:</t>
        </is>
      </c>
      <c r="B24" s="11">
        <f>TODAY()</f>
        <v/>
      </c>
    </row>
  </sheetData>
  <mergeCells count="5">
    <mergeCell ref="A4:B4"/>
    <mergeCell ref="D2:L2"/>
    <mergeCell ref="A20:B20"/>
    <mergeCell ref="A15:B15"/>
    <mergeCell ref="A10:B10"/>
  </mergeCells>
  <hyperlinks>
    <hyperlink xmlns:r="http://schemas.openxmlformats.org/officeDocument/2006/relationships" ref="D2" r:id="rId1"/>
  </hyperlinks>
  <pageMargins left="0.75" right="0.75" top="1" bottom="1" header="0.5" footer="0.5"/>
  <pageSetup orientation="landscape" fitToHeight="0" fitToWidth="1"/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N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8" customWidth="1" min="4" max="4"/>
    <col width="11" customWidth="1" min="5" max="5"/>
    <col width="44" customWidth="1" min="6" max="6"/>
    <col width="14" customWidth="1" min="7" max="7"/>
    <col width="16" customWidth="1" min="8" max="8"/>
    <col width="13" customWidth="1" min="9" max="9"/>
    <col width="14" customWidth="1" min="10" max="10"/>
    <col width="11" customWidth="1" min="11" max="11"/>
    <col width="12" customWidth="1" min="12" max="12"/>
    <col hidden="1" width="13" customWidth="1" min="13" max="13"/>
    <col hidden="1" width="13" customWidth="1" min="14" max="14"/>
  </cols>
  <sheetData>
    <row r="1">
      <c r="A1" s="12" t="inlineStr">
        <is>
          <t>WO-ID</t>
        </is>
      </c>
      <c r="B1" s="12" t="inlineStr">
        <is>
          <t>Date Opened</t>
        </is>
      </c>
      <c r="C1" s="12" t="inlineStr">
        <is>
          <t>Unit</t>
        </is>
      </c>
      <c r="D1" s="12" t="inlineStr">
        <is>
          <t>Category</t>
        </is>
      </c>
      <c r="E1" s="12" t="inlineStr">
        <is>
          <t>Priority</t>
        </is>
      </c>
      <c r="F1" s="12" t="inlineStr">
        <is>
          <t>Description</t>
        </is>
      </c>
      <c r="G1" s="12" t="inlineStr">
        <is>
          <t>Assigned To</t>
        </is>
      </c>
      <c r="H1" s="12" t="inlineStr">
        <is>
          <t>Status</t>
        </is>
      </c>
      <c r="I1" s="12" t="inlineStr">
        <is>
          <t>Date Closed</t>
        </is>
      </c>
      <c r="J1" s="12" t="inlineStr">
        <is>
          <t>SLA Target (days)</t>
        </is>
      </c>
      <c r="K1" s="12" t="inlineStr">
        <is>
          <t>Days Open</t>
        </is>
      </c>
      <c r="L1" s="12" t="inlineStr">
        <is>
          <t>SLA Status</t>
        </is>
      </c>
      <c r="M1" s="47" t="inlineStr">
        <is>
          <t>_seq_breach</t>
        </is>
      </c>
      <c r="N1" s="47" t="inlineStr">
        <is>
          <t>_seq_risk</t>
        </is>
      </c>
    </row>
    <row r="2">
      <c r="A2" s="13" t="inlineStr">
        <is>
          <t>WO-1001</t>
        </is>
      </c>
      <c r="B2" s="14" t="n">
        <v>46293</v>
      </c>
      <c r="C2" s="13" t="inlineStr">
        <is>
          <t>A-101</t>
        </is>
      </c>
      <c r="D2" s="13" t="inlineStr">
        <is>
          <t>Plumbing</t>
        </is>
      </c>
      <c r="E2" s="13" t="inlineStr">
        <is>
          <t>High</t>
        </is>
      </c>
      <c r="F2" s="15" t="inlineStr">
        <is>
          <t>Kitchen sink draining slowly; possible grease buildup</t>
        </is>
      </c>
      <c r="G2" s="13" t="inlineStr">
        <is>
          <t>M. Torres</t>
        </is>
      </c>
      <c r="H2" s="13" t="inlineStr">
        <is>
          <t>In Progress</t>
        </is>
      </c>
      <c r="I2" s="13" t="n"/>
      <c r="J2" s="16">
        <f>IF(E2="Emergency",1,IF(E2="High",3,IF(E2="Standard",7,14)))</f>
        <v/>
      </c>
      <c r="K2" s="17">
        <f>IF(H2="Closed",I2-B2,TODAY()-B2)</f>
        <v/>
      </c>
      <c r="L2" s="16">
        <f>IF(H2="Closed","Closed",IF(K2&gt;J2,"Breached",IF(K2&gt;=J2-1,"At Risk","On Track")))</f>
        <v/>
      </c>
      <c r="M2">
        <f>IF($L2="Breached",COUNTIF($L$2:$L2,"Breached"),"")</f>
        <v/>
      </c>
      <c r="N2">
        <f>IF($L2="At Risk",COUNTIF($L$2:$L2,"At Risk"),"")</f>
        <v/>
      </c>
    </row>
    <row r="3">
      <c r="A3" s="13" t="inlineStr">
        <is>
          <t>WO-1002</t>
        </is>
      </c>
      <c r="B3" s="14" t="n">
        <v>46293</v>
      </c>
      <c r="C3" s="13" t="inlineStr">
        <is>
          <t>B-214</t>
        </is>
      </c>
      <c r="D3" s="13" t="inlineStr">
        <is>
          <t>HVAC</t>
        </is>
      </c>
      <c r="E3" s="13" t="inlineStr">
        <is>
          <t>Emergency</t>
        </is>
      </c>
      <c r="F3" s="15" t="inlineStr">
        <is>
          <t>AC not cooling below 78°F; unit running constantly</t>
        </is>
      </c>
      <c r="G3" s="13" t="inlineStr">
        <is>
          <t>D. Kim</t>
        </is>
      </c>
      <c r="H3" s="13" t="inlineStr">
        <is>
          <t>In Progress</t>
        </is>
      </c>
      <c r="I3" s="13" t="n"/>
      <c r="J3" s="16">
        <f>IF(E3="Emergency",1,IF(E3="High",3,IF(E3="Standard",7,14)))</f>
        <v/>
      </c>
      <c r="K3" s="17">
        <f>IF(H3="Closed",I3-B3,TODAY()-B3)</f>
        <v/>
      </c>
      <c r="L3" s="16">
        <f>IF(H3="Closed","Closed",IF(K3&gt;J3,"Breached",IF(K3&gt;=J3-1,"At Risk","On Track")))</f>
        <v/>
      </c>
      <c r="M3">
        <f>IF($L3="Breached",COUNTIF($L$2:$L3,"Breached"),"")</f>
        <v/>
      </c>
      <c r="N3">
        <f>IF($L3="At Risk",COUNTIF($L$2:$L3,"At Risk"),"")</f>
        <v/>
      </c>
    </row>
    <row r="4">
      <c r="A4" s="13" t="inlineStr">
        <is>
          <t>WO-1003</t>
        </is>
      </c>
      <c r="B4" s="14" t="n">
        <v>46292</v>
      </c>
      <c r="C4" s="13" t="inlineStr">
        <is>
          <t>C-309</t>
        </is>
      </c>
      <c r="D4" s="13" t="inlineStr">
        <is>
          <t>Appliance</t>
        </is>
      </c>
      <c r="E4" s="13" t="inlineStr">
        <is>
          <t>Standard</t>
        </is>
      </c>
      <c r="F4" s="15" t="inlineStr">
        <is>
          <t>Garbage disposal jammed; humming but not spinning</t>
        </is>
      </c>
      <c r="G4" s="13" t="inlineStr">
        <is>
          <t>R. Patel</t>
        </is>
      </c>
      <c r="H4" s="13" t="inlineStr">
        <is>
          <t>Open</t>
        </is>
      </c>
      <c r="I4" s="13" t="n"/>
      <c r="J4" s="16">
        <f>IF(E4="Emergency",1,IF(E4="High",3,IF(E4="Standard",7,14)))</f>
        <v/>
      </c>
      <c r="K4" s="17">
        <f>IF(H4="Closed",I4-B4,TODAY()-B4)</f>
        <v/>
      </c>
      <c r="L4" s="16">
        <f>IF(H4="Closed","Closed",IF(K4&gt;J4,"Breached",IF(K4&gt;=J4-1,"At Risk","On Track")))</f>
        <v/>
      </c>
      <c r="M4">
        <f>IF($L4="Breached",COUNTIF($L$2:$L4,"Breached"),"")</f>
        <v/>
      </c>
      <c r="N4">
        <f>IF($L4="At Risk",COUNTIF($L$2:$L4,"At Risk"),"")</f>
        <v/>
      </c>
    </row>
    <row r="5">
      <c r="A5" s="13" t="inlineStr">
        <is>
          <t>WO-1004</t>
        </is>
      </c>
      <c r="B5" s="14" t="n">
        <v>46292</v>
      </c>
      <c r="C5" s="13" t="inlineStr">
        <is>
          <t>A-118</t>
        </is>
      </c>
      <c r="D5" s="13" t="inlineStr">
        <is>
          <t>Lock/Key</t>
        </is>
      </c>
      <c r="E5" s="13" t="inlineStr">
        <is>
          <t>High</t>
        </is>
      </c>
      <c r="F5" s="15" t="inlineStr">
        <is>
          <t>Bedroom door lock sticking; resident unable to lock</t>
        </is>
      </c>
      <c r="G5" s="13" t="inlineStr">
        <is>
          <t>J. Williams</t>
        </is>
      </c>
      <c r="H5" s="13" t="inlineStr">
        <is>
          <t>In Progress</t>
        </is>
      </c>
      <c r="I5" s="13" t="n"/>
      <c r="J5" s="16">
        <f>IF(E5="Emergency",1,IF(E5="High",3,IF(E5="Standard",7,14)))</f>
        <v/>
      </c>
      <c r="K5" s="17">
        <f>IF(H5="Closed",I5-B5,TODAY()-B5)</f>
        <v/>
      </c>
      <c r="L5" s="16">
        <f>IF(H5="Closed","Closed",IF(K5&gt;J5,"Breached",IF(K5&gt;=J5-1,"At Risk","On Track")))</f>
        <v/>
      </c>
      <c r="M5">
        <f>IF($L5="Breached",COUNTIF($L$2:$L5,"Breached"),"")</f>
        <v/>
      </c>
      <c r="N5">
        <f>IF($L5="At Risk",COUNTIF($L$2:$L5,"At Risk"),"")</f>
        <v/>
      </c>
    </row>
    <row r="6">
      <c r="A6" s="13" t="inlineStr">
        <is>
          <t>WO-1005</t>
        </is>
      </c>
      <c r="B6" s="14" t="n">
        <v>46291</v>
      </c>
      <c r="C6" s="13" t="inlineStr">
        <is>
          <t>D-102</t>
        </is>
      </c>
      <c r="D6" s="13" t="inlineStr">
        <is>
          <t>Electrical</t>
        </is>
      </c>
      <c r="E6" s="13" t="inlineStr">
        <is>
          <t>Standard</t>
        </is>
      </c>
      <c r="F6" s="15" t="inlineStr">
        <is>
          <t>Hallway light flickering in entry</t>
        </is>
      </c>
      <c r="G6" s="13" t="inlineStr">
        <is>
          <t>M. Torres</t>
        </is>
      </c>
      <c r="H6" s="13" t="inlineStr">
        <is>
          <t>Closed</t>
        </is>
      </c>
      <c r="I6" s="14" t="n">
        <v>46292</v>
      </c>
      <c r="J6" s="16">
        <f>IF(E6="Emergency",1,IF(E6="High",3,IF(E6="Standard",7,14)))</f>
        <v/>
      </c>
      <c r="K6" s="17">
        <f>IF(H6="Closed",I6-B6,TODAY()-B6)</f>
        <v/>
      </c>
      <c r="L6" s="16">
        <f>IF(H6="Closed","Closed",IF(K6&gt;J6,"Breached",IF(K6&gt;=J6-1,"At Risk","On Track")))</f>
        <v/>
      </c>
      <c r="M6">
        <f>IF($L6="Breached",COUNTIF($L$2:$L6,"Breached"),"")</f>
        <v/>
      </c>
      <c r="N6">
        <f>IF($L6="At Risk",COUNTIF($L$2:$L6,"At Risk"),"")</f>
        <v/>
      </c>
    </row>
    <row r="7">
      <c r="A7" s="13" t="inlineStr">
        <is>
          <t>WO-1006</t>
        </is>
      </c>
      <c r="B7" s="14" t="n">
        <v>46291</v>
      </c>
      <c r="C7" s="13" t="inlineStr">
        <is>
          <t>B-207</t>
        </is>
      </c>
      <c r="D7" s="13" t="inlineStr">
        <is>
          <t>Plumbing</t>
        </is>
      </c>
      <c r="E7" s="13" t="inlineStr">
        <is>
          <t>Emergency</t>
        </is>
      </c>
      <c r="F7" s="15" t="inlineStr">
        <is>
          <t>Water leaking under bathroom sink; shutoff engaged</t>
        </is>
      </c>
      <c r="G7" s="13" t="inlineStr">
        <is>
          <t>D. Kim</t>
        </is>
      </c>
      <c r="H7" s="13" t="inlineStr">
        <is>
          <t>Closed</t>
        </is>
      </c>
      <c r="I7" s="14" t="n">
        <v>46291</v>
      </c>
      <c r="J7" s="16">
        <f>IF(E7="Emergency",1,IF(E7="High",3,IF(E7="Standard",7,14)))</f>
        <v/>
      </c>
      <c r="K7" s="17">
        <f>IF(H7="Closed",I7-B7,TODAY()-B7)</f>
        <v/>
      </c>
      <c r="L7" s="16">
        <f>IF(H7="Closed","Closed",IF(K7&gt;J7,"Breached",IF(K7&gt;=J7-1,"At Risk","On Track")))</f>
        <v/>
      </c>
      <c r="M7">
        <f>IF($L7="Breached",COUNTIF($L$2:$L7,"Breached"),"")</f>
        <v/>
      </c>
      <c r="N7">
        <f>IF($L7="At Risk",COUNTIF($L$2:$L7,"At Risk"),"")</f>
        <v/>
      </c>
    </row>
    <row r="8">
      <c r="A8" s="13" t="inlineStr">
        <is>
          <t>WO-1007</t>
        </is>
      </c>
      <c r="B8" s="14" t="n">
        <v>46290</v>
      </c>
      <c r="C8" s="13" t="inlineStr">
        <is>
          <t>C-315</t>
        </is>
      </c>
      <c r="D8" s="13" t="inlineStr">
        <is>
          <t>Appliance</t>
        </is>
      </c>
      <c r="E8" s="13" t="inlineStr">
        <is>
          <t>Standard</t>
        </is>
      </c>
      <c r="F8" s="15" t="inlineStr">
        <is>
          <t>Dishwasher leaking at front seal during cycle</t>
        </is>
      </c>
      <c r="G8" s="13" t="inlineStr">
        <is>
          <t>R. Patel</t>
        </is>
      </c>
      <c r="H8" s="13" t="inlineStr">
        <is>
          <t>Waiting on Parts</t>
        </is>
      </c>
      <c r="I8" s="13" t="n"/>
      <c r="J8" s="16">
        <f>IF(E8="Emergency",1,IF(E8="High",3,IF(E8="Standard",7,14)))</f>
        <v/>
      </c>
      <c r="K8" s="17">
        <f>IF(H8="Closed",I8-B8,TODAY()-B8)</f>
        <v/>
      </c>
      <c r="L8" s="16">
        <f>IF(H8="Closed","Closed",IF(K8&gt;J8,"Breached",IF(K8&gt;=J8-1,"At Risk","On Track")))</f>
        <v/>
      </c>
      <c r="M8">
        <f>IF($L8="Breached",COUNTIF($L$2:$L8,"Breached"),"")</f>
        <v/>
      </c>
      <c r="N8">
        <f>IF($L8="At Risk",COUNTIF($L$2:$L8,"At Risk"),"")</f>
        <v/>
      </c>
    </row>
    <row r="9">
      <c r="A9" s="13" t="inlineStr">
        <is>
          <t>WO-1008</t>
        </is>
      </c>
      <c r="B9" s="14" t="n">
        <v>46290</v>
      </c>
      <c r="C9" s="13" t="inlineStr">
        <is>
          <t>A-122</t>
        </is>
      </c>
      <c r="D9" s="13" t="inlineStr">
        <is>
          <t>Electrical</t>
        </is>
      </c>
      <c r="E9" s="13" t="inlineStr">
        <is>
          <t>High</t>
        </is>
      </c>
      <c r="F9" s="15" t="inlineStr">
        <is>
          <t>Thermostat unresponsive; blank display</t>
        </is>
      </c>
      <c r="G9" s="13" t="inlineStr">
        <is>
          <t>M. Torres</t>
        </is>
      </c>
      <c r="H9" s="13" t="inlineStr">
        <is>
          <t>Closed</t>
        </is>
      </c>
      <c r="I9" s="14" t="n">
        <v>46291</v>
      </c>
      <c r="J9" s="16">
        <f>IF(E9="Emergency",1,IF(E9="High",3,IF(E9="Standard",7,14)))</f>
        <v/>
      </c>
      <c r="K9" s="17">
        <f>IF(H9="Closed",I9-B9,TODAY()-B9)</f>
        <v/>
      </c>
      <c r="L9" s="16">
        <f>IF(H9="Closed","Closed",IF(K9&gt;J9,"Breached",IF(K9&gt;=J9-1,"At Risk","On Track")))</f>
        <v/>
      </c>
      <c r="M9">
        <f>IF($L9="Breached",COUNTIF($L$2:$L9,"Breached"),"")</f>
        <v/>
      </c>
      <c r="N9">
        <f>IF($L9="At Risk",COUNTIF($L$2:$L9,"At Risk"),"")</f>
        <v/>
      </c>
    </row>
    <row r="10">
      <c r="A10" s="13" t="inlineStr">
        <is>
          <t>WO-1009</t>
        </is>
      </c>
      <c r="B10" s="14" t="n">
        <v>46289</v>
      </c>
      <c r="C10" s="13" t="inlineStr">
        <is>
          <t>D-118</t>
        </is>
      </c>
      <c r="D10" s="13" t="inlineStr">
        <is>
          <t>Interior</t>
        </is>
      </c>
      <c r="E10" s="13" t="inlineStr">
        <is>
          <t>Low</t>
        </is>
      </c>
      <c r="F10" s="15" t="inlineStr">
        <is>
          <t>Window screen torn in living room</t>
        </is>
      </c>
      <c r="G10" s="13" t="inlineStr">
        <is>
          <t>A. Johnson</t>
        </is>
      </c>
      <c r="H10" s="13" t="inlineStr">
        <is>
          <t>Open</t>
        </is>
      </c>
      <c r="I10" s="13" t="n"/>
      <c r="J10" s="16">
        <f>IF(E10="Emergency",1,IF(E10="High",3,IF(E10="Standard",7,14)))</f>
        <v/>
      </c>
      <c r="K10" s="17">
        <f>IF(H10="Closed",I10-B10,TODAY()-B10)</f>
        <v/>
      </c>
      <c r="L10" s="16">
        <f>IF(H10="Closed","Closed",IF(K10&gt;J10,"Breached",IF(K10&gt;=J10-1,"At Risk","On Track")))</f>
        <v/>
      </c>
      <c r="M10">
        <f>IF($L10="Breached",COUNTIF($L$2:$L10,"Breached"),"")</f>
        <v/>
      </c>
      <c r="N10">
        <f>IF($L10="At Risk",COUNTIF($L$2:$L10,"At Risk"),"")</f>
        <v/>
      </c>
    </row>
    <row r="11">
      <c r="A11" s="13" t="inlineStr">
        <is>
          <t>WO-1010</t>
        </is>
      </c>
      <c r="B11" s="14" t="n">
        <v>46289</v>
      </c>
      <c r="C11" s="13" t="inlineStr">
        <is>
          <t>B-201</t>
        </is>
      </c>
      <c r="D11" s="13" t="inlineStr">
        <is>
          <t>Appliance</t>
        </is>
      </c>
      <c r="E11" s="13" t="inlineStr">
        <is>
          <t>Standard</t>
        </is>
      </c>
      <c r="F11" s="15" t="inlineStr">
        <is>
          <t>Stove burner not igniting; gas smell ruled out</t>
        </is>
      </c>
      <c r="G11" s="13" t="inlineStr">
        <is>
          <t>R. Patel</t>
        </is>
      </c>
      <c r="H11" s="13" t="inlineStr">
        <is>
          <t>Closed</t>
        </is>
      </c>
      <c r="I11" s="14" t="n">
        <v>46290</v>
      </c>
      <c r="J11" s="16">
        <f>IF(E11="Emergency",1,IF(E11="High",3,IF(E11="Standard",7,14)))</f>
        <v/>
      </c>
      <c r="K11" s="17">
        <f>IF(H11="Closed",I11-B11,TODAY()-B11)</f>
        <v/>
      </c>
      <c r="L11" s="16">
        <f>IF(H11="Closed","Closed",IF(K11&gt;J11,"Breached",IF(K11&gt;=J11-1,"At Risk","On Track")))</f>
        <v/>
      </c>
      <c r="M11">
        <f>IF($L11="Breached",COUNTIF($L$2:$L11,"Breached"),"")</f>
        <v/>
      </c>
      <c r="N11">
        <f>IF($L11="At Risk",COUNTIF($L$2:$L11,"At Risk"),"")</f>
        <v/>
      </c>
    </row>
    <row r="12">
      <c r="A12" s="13" t="inlineStr">
        <is>
          <t>WO-1011</t>
        </is>
      </c>
      <c r="B12" s="14" t="n">
        <v>46288</v>
      </c>
      <c r="C12" s="13" t="inlineStr">
        <is>
          <t>C-301</t>
        </is>
      </c>
      <c r="D12" s="13" t="inlineStr">
        <is>
          <t>HVAC</t>
        </is>
      </c>
      <c r="E12" s="13" t="inlineStr">
        <is>
          <t>High</t>
        </is>
      </c>
      <c r="F12" s="15" t="inlineStr">
        <is>
          <t>Weak airflow in bedroom vent; filter replaced, still weak</t>
        </is>
      </c>
      <c r="G12" s="13" t="inlineStr">
        <is>
          <t>D. Kim</t>
        </is>
      </c>
      <c r="H12" s="13" t="inlineStr">
        <is>
          <t>In Progress</t>
        </is>
      </c>
      <c r="I12" s="13" t="n"/>
      <c r="J12" s="16">
        <f>IF(E12="Emergency",1,IF(E12="High",3,IF(E12="Standard",7,14)))</f>
        <v/>
      </c>
      <c r="K12" s="17">
        <f>IF(H12="Closed",I12-B12,TODAY()-B12)</f>
        <v/>
      </c>
      <c r="L12" s="16">
        <f>IF(H12="Closed","Closed",IF(K12&gt;J12,"Breached",IF(K12&gt;=J12-1,"At Risk","On Track")))</f>
        <v/>
      </c>
      <c r="M12">
        <f>IF($L12="Breached",COUNTIF($L$2:$L12,"Breached"),"")</f>
        <v/>
      </c>
      <c r="N12">
        <f>IF($L12="At Risk",COUNTIF($L$2:$L12,"At Risk"),"")</f>
        <v/>
      </c>
    </row>
    <row r="13">
      <c r="A13" s="13" t="inlineStr">
        <is>
          <t>WO-1012</t>
        </is>
      </c>
      <c r="B13" s="14" t="n">
        <v>46288</v>
      </c>
      <c r="C13" s="13" t="inlineStr">
        <is>
          <t>A-109</t>
        </is>
      </c>
      <c r="D13" s="13" t="inlineStr">
        <is>
          <t>Plumbing</t>
        </is>
      </c>
      <c r="E13" s="13" t="inlineStr">
        <is>
          <t>Standard</t>
        </is>
      </c>
      <c r="F13" s="15" t="inlineStr">
        <is>
          <t>Toilet running continuously after flush</t>
        </is>
      </c>
      <c r="G13" s="13" t="inlineStr">
        <is>
          <t>M. Torres</t>
        </is>
      </c>
      <c r="H13" s="13" t="inlineStr">
        <is>
          <t>Closed</t>
        </is>
      </c>
      <c r="I13" s="14" t="n">
        <v>46289</v>
      </c>
      <c r="J13" s="16">
        <f>IF(E13="Emergency",1,IF(E13="High",3,IF(E13="Standard",7,14)))</f>
        <v/>
      </c>
      <c r="K13" s="17">
        <f>IF(H13="Closed",I13-B13,TODAY()-B13)</f>
        <v/>
      </c>
      <c r="L13" s="16">
        <f>IF(H13="Closed","Closed",IF(K13&gt;J13,"Breached",IF(K13&gt;=J13-1,"At Risk","On Track")))</f>
        <v/>
      </c>
      <c r="M13">
        <f>IF($L13="Breached",COUNTIF($L$2:$L13,"Breached"),"")</f>
        <v/>
      </c>
      <c r="N13">
        <f>IF($L13="At Risk",COUNTIF($L$2:$L13,"At Risk"),"")</f>
        <v/>
      </c>
    </row>
    <row r="14">
      <c r="A14" s="13" t="inlineStr">
        <is>
          <t>WO-1013</t>
        </is>
      </c>
      <c r="B14" s="14" t="n">
        <v>46287</v>
      </c>
      <c r="C14" s="13" t="inlineStr">
        <is>
          <t>D-105</t>
        </is>
      </c>
      <c r="D14" s="13" t="inlineStr">
        <is>
          <t>Pest Control</t>
        </is>
      </c>
      <c r="E14" s="13" t="inlineStr">
        <is>
          <t>Standard</t>
        </is>
      </c>
      <c r="F14" s="15" t="inlineStr">
        <is>
          <t>Ants along kitchen baseboard near patio door</t>
        </is>
      </c>
      <c r="G14" s="13" t="inlineStr">
        <is>
          <t>Vendor: Apex</t>
        </is>
      </c>
      <c r="H14" s="13" t="inlineStr">
        <is>
          <t>Closed</t>
        </is>
      </c>
      <c r="I14" s="14" t="n">
        <v>46289</v>
      </c>
      <c r="J14" s="16">
        <f>IF(E14="Emergency",1,IF(E14="High",3,IF(E14="Standard",7,14)))</f>
        <v/>
      </c>
      <c r="K14" s="17">
        <f>IF(H14="Closed",I14-B14,TODAY()-B14)</f>
        <v/>
      </c>
      <c r="L14" s="16">
        <f>IF(H14="Closed","Closed",IF(K14&gt;J14,"Breached",IF(K14&gt;=J14-1,"At Risk","On Track")))</f>
        <v/>
      </c>
      <c r="M14">
        <f>IF($L14="Breached",COUNTIF($L$2:$L14,"Breached"),"")</f>
        <v/>
      </c>
      <c r="N14">
        <f>IF($L14="At Risk",COUNTIF($L$2:$L14,"At Risk"),"")</f>
        <v/>
      </c>
    </row>
    <row r="15">
      <c r="A15" s="13" t="inlineStr">
        <is>
          <t>WO-1014</t>
        </is>
      </c>
      <c r="B15" s="14" t="n">
        <v>46287</v>
      </c>
      <c r="C15" s="13" t="inlineStr">
        <is>
          <t>B-220</t>
        </is>
      </c>
      <c r="D15" s="13" t="inlineStr">
        <is>
          <t>Electrical</t>
        </is>
      </c>
      <c r="E15" s="13" t="inlineStr">
        <is>
          <t>Standard</t>
        </is>
      </c>
      <c r="F15" s="15" t="inlineStr">
        <is>
          <t>Bathroom GFCI outlet tripped; will not reset</t>
        </is>
      </c>
      <c r="G15" s="13" t="inlineStr">
        <is>
          <t>M. Torres</t>
        </is>
      </c>
      <c r="H15" s="13" t="inlineStr">
        <is>
          <t>Open</t>
        </is>
      </c>
      <c r="I15" s="13" t="n"/>
      <c r="J15" s="16">
        <f>IF(E15="Emergency",1,IF(E15="High",3,IF(E15="Standard",7,14)))</f>
        <v/>
      </c>
      <c r="K15" s="17">
        <f>IF(H15="Closed",I15-B15,TODAY()-B15)</f>
        <v/>
      </c>
      <c r="L15" s="16">
        <f>IF(H15="Closed","Closed",IF(K15&gt;J15,"Breached",IF(K15&gt;=J15-1,"At Risk","On Track")))</f>
        <v/>
      </c>
      <c r="M15">
        <f>IF($L15="Breached",COUNTIF($L$2:$L15,"Breached"),"")</f>
        <v/>
      </c>
      <c r="N15">
        <f>IF($L15="At Risk",COUNTIF($L$2:$L15,"At Risk"),"")</f>
        <v/>
      </c>
    </row>
    <row r="16">
      <c r="A16" s="13" t="inlineStr">
        <is>
          <t>WO-1015</t>
        </is>
      </c>
      <c r="B16" s="14" t="n">
        <v>46286</v>
      </c>
      <c r="C16" s="13" t="inlineStr">
        <is>
          <t>C-308</t>
        </is>
      </c>
      <c r="D16" s="13" t="inlineStr">
        <is>
          <t>Interior</t>
        </is>
      </c>
      <c r="E16" s="13" t="inlineStr">
        <is>
          <t>Low</t>
        </is>
      </c>
      <c r="F16" s="15" t="inlineStr">
        <is>
          <t>Scuffed paint on living room wall near entry</t>
        </is>
      </c>
      <c r="G16" s="13" t="inlineStr">
        <is>
          <t>A. Johnson</t>
        </is>
      </c>
      <c r="H16" s="13" t="inlineStr">
        <is>
          <t>Closed</t>
        </is>
      </c>
      <c r="I16" s="14" t="n">
        <v>46291</v>
      </c>
      <c r="J16" s="16">
        <f>IF(E16="Emergency",1,IF(E16="High",3,IF(E16="Standard",7,14)))</f>
        <v/>
      </c>
      <c r="K16" s="17">
        <f>IF(H16="Closed",I16-B16,TODAY()-B16)</f>
        <v/>
      </c>
      <c r="L16" s="16">
        <f>IF(H16="Closed","Closed",IF(K16&gt;J16,"Breached",IF(K16&gt;=J16-1,"At Risk","On Track")))</f>
        <v/>
      </c>
      <c r="M16">
        <f>IF($L16="Breached",COUNTIF($L$2:$L16,"Breached"),"")</f>
        <v/>
      </c>
      <c r="N16">
        <f>IF($L16="At Risk",COUNTIF($L$2:$L16,"At Risk"),"")</f>
        <v/>
      </c>
    </row>
    <row r="17">
      <c r="A17" s="13" t="inlineStr">
        <is>
          <t>WO-1016</t>
        </is>
      </c>
      <c r="B17" s="14" t="n">
        <v>46286</v>
      </c>
      <c r="C17" s="13" t="inlineStr">
        <is>
          <t>A-115</t>
        </is>
      </c>
      <c r="D17" s="13" t="inlineStr">
        <is>
          <t>Appliance</t>
        </is>
      </c>
      <c r="E17" s="13" t="inlineStr">
        <is>
          <t>High</t>
        </is>
      </c>
      <c r="F17" s="15" t="inlineStr">
        <is>
          <t>Refrigerator not holding temp; food spoilage risk</t>
        </is>
      </c>
      <c r="G17" s="13" t="inlineStr">
        <is>
          <t>R. Patel</t>
        </is>
      </c>
      <c r="H17" s="13" t="inlineStr">
        <is>
          <t>Closed</t>
        </is>
      </c>
      <c r="I17" s="14" t="n">
        <v>46287</v>
      </c>
      <c r="J17" s="16">
        <f>IF(E17="Emergency",1,IF(E17="High",3,IF(E17="Standard",7,14)))</f>
        <v/>
      </c>
      <c r="K17" s="17">
        <f>IF(H17="Closed",I17-B17,TODAY()-B17)</f>
        <v/>
      </c>
      <c r="L17" s="16">
        <f>IF(H17="Closed","Closed",IF(K17&gt;J17,"Breached",IF(K17&gt;=J17-1,"At Risk","On Track")))</f>
        <v/>
      </c>
      <c r="M17">
        <f>IF($L17="Breached",COUNTIF($L$2:$L17,"Breached"),"")</f>
        <v/>
      </c>
      <c r="N17">
        <f>IF($L17="At Risk",COUNTIF($L$2:$L17,"At Risk"),"")</f>
        <v/>
      </c>
    </row>
    <row r="18">
      <c r="A18" s="13" t="inlineStr">
        <is>
          <t>WO-1017</t>
        </is>
      </c>
      <c r="B18" s="14" t="n">
        <v>46285</v>
      </c>
      <c r="C18" s="13" t="inlineStr">
        <is>
          <t>D-111</t>
        </is>
      </c>
      <c r="D18" s="13" t="inlineStr">
        <is>
          <t>Plumbing</t>
        </is>
      </c>
      <c r="E18" s="13" t="inlineStr">
        <is>
          <t>Standard</t>
        </is>
      </c>
      <c r="F18" s="15" t="inlineStr">
        <is>
          <t>Shower head low pressure; likely mineral buildup</t>
        </is>
      </c>
      <c r="G18" s="13" t="inlineStr">
        <is>
          <t>M. Torres</t>
        </is>
      </c>
      <c r="H18" s="13" t="inlineStr">
        <is>
          <t>Open</t>
        </is>
      </c>
      <c r="I18" s="13" t="n"/>
      <c r="J18" s="16">
        <f>IF(E18="Emergency",1,IF(E18="High",3,IF(E18="Standard",7,14)))</f>
        <v/>
      </c>
      <c r="K18" s="17">
        <f>IF(H18="Closed",I18-B18,TODAY()-B18)</f>
        <v/>
      </c>
      <c r="L18" s="16">
        <f>IF(H18="Closed","Closed",IF(K18&gt;J18,"Breached",IF(K18&gt;=J18-1,"At Risk","On Track")))</f>
        <v/>
      </c>
      <c r="M18">
        <f>IF($L18="Breached",COUNTIF($L$2:$L18,"Breached"),"")</f>
        <v/>
      </c>
      <c r="N18">
        <f>IF($L18="At Risk",COUNTIF($L$2:$L18,"At Risk"),"")</f>
        <v/>
      </c>
    </row>
    <row r="19">
      <c r="A19" s="13" t="inlineStr">
        <is>
          <t>WO-1018</t>
        </is>
      </c>
      <c r="B19" s="14" t="n">
        <v>46284</v>
      </c>
      <c r="C19" s="13" t="inlineStr">
        <is>
          <t>B-212</t>
        </is>
      </c>
      <c r="D19" s="13" t="inlineStr">
        <is>
          <t>Lock/Key</t>
        </is>
      </c>
      <c r="E19" s="13" t="inlineStr">
        <is>
          <t>High</t>
        </is>
      </c>
      <c r="F19" s="15" t="inlineStr">
        <is>
          <t>Mailbox key broken off in lock</t>
        </is>
      </c>
      <c r="G19" s="13" t="inlineStr">
        <is>
          <t>J. Williams</t>
        </is>
      </c>
      <c r="H19" s="13" t="inlineStr">
        <is>
          <t>Closed</t>
        </is>
      </c>
      <c r="I19" s="14" t="n">
        <v>46285</v>
      </c>
      <c r="J19" s="16">
        <f>IF(E19="Emergency",1,IF(E19="High",3,IF(E19="Standard",7,14)))</f>
        <v/>
      </c>
      <c r="K19" s="17">
        <f>IF(H19="Closed",I19-B19,TODAY()-B19)</f>
        <v/>
      </c>
      <c r="L19" s="16">
        <f>IF(H19="Closed","Closed",IF(K19&gt;J19,"Breached",IF(K19&gt;=J19-1,"At Risk","On Track")))</f>
        <v/>
      </c>
      <c r="M19">
        <f>IF($L19="Breached",COUNTIF($L$2:$L19,"Breached"),"")</f>
        <v/>
      </c>
      <c r="N19">
        <f>IF($L19="At Risk",COUNTIF($L$2:$L19,"At Risk"),"")</f>
        <v/>
      </c>
    </row>
    <row r="20">
      <c r="A20" s="13" t="inlineStr">
        <is>
          <t>WO-1019</t>
        </is>
      </c>
      <c r="B20" s="14" t="n">
        <v>46284</v>
      </c>
      <c r="C20" s="13" t="inlineStr">
        <is>
          <t>C-322</t>
        </is>
      </c>
      <c r="D20" s="13" t="inlineStr">
        <is>
          <t>HVAC</t>
        </is>
      </c>
      <c r="E20" s="13" t="inlineStr">
        <is>
          <t>Emergency</t>
        </is>
      </c>
      <c r="F20" s="15" t="inlineStr">
        <is>
          <t>No cooling at all; compressor not engaging</t>
        </is>
      </c>
      <c r="G20" s="13" t="inlineStr">
        <is>
          <t>D. Kim</t>
        </is>
      </c>
      <c r="H20" s="13" t="inlineStr">
        <is>
          <t>Closed</t>
        </is>
      </c>
      <c r="I20" s="14" t="n">
        <v>46284</v>
      </c>
      <c r="J20" s="16">
        <f>IF(E20="Emergency",1,IF(E20="High",3,IF(E20="Standard",7,14)))</f>
        <v/>
      </c>
      <c r="K20" s="17">
        <f>IF(H20="Closed",I20-B20,TODAY()-B20)</f>
        <v/>
      </c>
      <c r="L20" s="16">
        <f>IF(H20="Closed","Closed",IF(K20&gt;J20,"Breached",IF(K20&gt;=J20-1,"At Risk","On Track")))</f>
        <v/>
      </c>
      <c r="M20">
        <f>IF($L20="Breached",COUNTIF($L$2:$L20,"Breached"),"")</f>
        <v/>
      </c>
      <c r="N20">
        <f>IF($L20="At Risk",COUNTIF($L$2:$L20,"At Risk"),"")</f>
        <v/>
      </c>
    </row>
    <row r="21">
      <c r="A21" s="13" t="inlineStr">
        <is>
          <t>WO-1020</t>
        </is>
      </c>
      <c r="B21" s="14" t="n">
        <v>46283</v>
      </c>
      <c r="C21" s="13" t="inlineStr">
        <is>
          <t>A-104</t>
        </is>
      </c>
      <c r="D21" s="13" t="inlineStr">
        <is>
          <t>Exterior/Common Area</t>
        </is>
      </c>
      <c r="E21" s="13" t="inlineStr">
        <is>
          <t>Standard</t>
        </is>
      </c>
      <c r="F21" s="15" t="inlineStr">
        <is>
          <t>Breezeway light out on 1st floor</t>
        </is>
      </c>
      <c r="G21" s="13" t="inlineStr">
        <is>
          <t>M. Torres</t>
        </is>
      </c>
      <c r="H21" s="13" t="inlineStr">
        <is>
          <t>Closed</t>
        </is>
      </c>
      <c r="I21" s="14" t="n">
        <v>46284</v>
      </c>
      <c r="J21" s="16">
        <f>IF(E21="Emergency",1,IF(E21="High",3,IF(E21="Standard",7,14)))</f>
        <v/>
      </c>
      <c r="K21" s="17">
        <f>IF(H21="Closed",I21-B21,TODAY()-B21)</f>
        <v/>
      </c>
      <c r="L21" s="16">
        <f>IF(H21="Closed","Closed",IF(K21&gt;J21,"Breached",IF(K21&gt;=J21-1,"At Risk","On Track")))</f>
        <v/>
      </c>
      <c r="M21">
        <f>IF($L21="Breached",COUNTIF($L$2:$L21,"Breached"),"")</f>
        <v/>
      </c>
      <c r="N21">
        <f>IF($L21="At Risk",COUNTIF($L$2:$L21,"At Risk"),"")</f>
        <v/>
      </c>
    </row>
    <row r="22">
      <c r="A22" s="13" t="inlineStr">
        <is>
          <t>WO-1021</t>
        </is>
      </c>
      <c r="B22" s="14" t="n">
        <v>46283</v>
      </c>
      <c r="C22" s="13" t="inlineStr">
        <is>
          <t>D-120</t>
        </is>
      </c>
      <c r="D22" s="13" t="inlineStr">
        <is>
          <t>Appliance</t>
        </is>
      </c>
      <c r="E22" s="13" t="inlineStr">
        <is>
          <t>Low</t>
        </is>
      </c>
      <c r="F22" s="15" t="inlineStr">
        <is>
          <t>Microwave turntable not rotating</t>
        </is>
      </c>
      <c r="G22" s="13" t="inlineStr">
        <is>
          <t>Unassigned</t>
        </is>
      </c>
      <c r="H22" s="13" t="inlineStr">
        <is>
          <t>Open</t>
        </is>
      </c>
      <c r="I22" s="13" t="n"/>
      <c r="J22" s="16">
        <f>IF(E22="Emergency",1,IF(E22="High",3,IF(E22="Standard",7,14)))</f>
        <v/>
      </c>
      <c r="K22" s="17">
        <f>IF(H22="Closed",I22-B22,TODAY()-B22)</f>
        <v/>
      </c>
      <c r="L22" s="16">
        <f>IF(H22="Closed","Closed",IF(K22&gt;J22,"Breached",IF(K22&gt;=J22-1,"At Risk","On Track")))</f>
        <v/>
      </c>
      <c r="M22">
        <f>IF($L22="Breached",COUNTIF($L$2:$L22,"Breached"),"")</f>
        <v/>
      </c>
      <c r="N22">
        <f>IF($L22="At Risk",COUNTIF($L$2:$L22,"At Risk"),"")</f>
        <v/>
      </c>
    </row>
    <row r="23">
      <c r="A23" s="13" t="inlineStr">
        <is>
          <t>WO-1022</t>
        </is>
      </c>
      <c r="B23" s="14" t="n">
        <v>46282</v>
      </c>
      <c r="C23" s="13" t="inlineStr">
        <is>
          <t>B-205</t>
        </is>
      </c>
      <c r="D23" s="13" t="inlineStr">
        <is>
          <t>Plumbing</t>
        </is>
      </c>
      <c r="E23" s="13" t="inlineStr">
        <is>
          <t>High</t>
        </is>
      </c>
      <c r="F23" s="15" t="inlineStr">
        <is>
          <t>Water heater pilot will not stay lit</t>
        </is>
      </c>
      <c r="G23" s="13" t="inlineStr">
        <is>
          <t>D. Kim</t>
        </is>
      </c>
      <c r="H23" s="13" t="inlineStr">
        <is>
          <t>Waiting on Parts</t>
        </is>
      </c>
      <c r="I23" s="13" t="n"/>
      <c r="J23" s="16">
        <f>IF(E23="Emergency",1,IF(E23="High",3,IF(E23="Standard",7,14)))</f>
        <v/>
      </c>
      <c r="K23" s="17">
        <f>IF(H23="Closed",I23-B23,TODAY()-B23)</f>
        <v/>
      </c>
      <c r="L23" s="16">
        <f>IF(H23="Closed","Closed",IF(K23&gt;J23,"Breached",IF(K23&gt;=J23-1,"At Risk","On Track")))</f>
        <v/>
      </c>
      <c r="M23">
        <f>IF($L23="Breached",COUNTIF($L$2:$L23,"Breached"),"")</f>
        <v/>
      </c>
      <c r="N23">
        <f>IF($L23="At Risk",COUNTIF($L$2:$L23,"At Risk"),"")</f>
        <v/>
      </c>
    </row>
    <row r="24">
      <c r="A24" s="13" t="inlineStr">
        <is>
          <t>WO-1023</t>
        </is>
      </c>
      <c r="B24" s="14" t="n">
        <v>46282</v>
      </c>
      <c r="C24" s="13" t="inlineStr">
        <is>
          <t>C-305</t>
        </is>
      </c>
      <c r="D24" s="13" t="inlineStr">
        <is>
          <t>Interior</t>
        </is>
      </c>
      <c r="E24" s="13" t="inlineStr">
        <is>
          <t>Standard</t>
        </is>
      </c>
      <c r="F24" s="15" t="inlineStr">
        <is>
          <t>Closet door off track in primary bedroom</t>
        </is>
      </c>
      <c r="G24" s="13" t="inlineStr">
        <is>
          <t>A. Johnson</t>
        </is>
      </c>
      <c r="H24" s="13" t="inlineStr">
        <is>
          <t>Closed</t>
        </is>
      </c>
      <c r="I24" s="14" t="n">
        <v>46283</v>
      </c>
      <c r="J24" s="16">
        <f>IF(E24="Emergency",1,IF(E24="High",3,IF(E24="Standard",7,14)))</f>
        <v/>
      </c>
      <c r="K24" s="17">
        <f>IF(H24="Closed",I24-B24,TODAY()-B24)</f>
        <v/>
      </c>
      <c r="L24" s="16">
        <f>IF(H24="Closed","Closed",IF(K24&gt;J24,"Breached",IF(K24&gt;=J24-1,"At Risk","On Track")))</f>
        <v/>
      </c>
      <c r="M24">
        <f>IF($L24="Breached",COUNTIF($L$2:$L24,"Breached"),"")</f>
        <v/>
      </c>
      <c r="N24">
        <f>IF($L24="At Risk",COUNTIF($L$2:$L24,"At Risk"),"")</f>
        <v/>
      </c>
    </row>
    <row r="25">
      <c r="A25" s="13" t="inlineStr">
        <is>
          <t>WO-1024</t>
        </is>
      </c>
      <c r="B25" s="14" t="n">
        <v>46281</v>
      </c>
      <c r="C25" s="13" t="inlineStr">
        <is>
          <t>A-130</t>
        </is>
      </c>
      <c r="D25" s="13" t="inlineStr">
        <is>
          <t>Electrical</t>
        </is>
      </c>
      <c r="E25" s="13" t="inlineStr">
        <is>
          <t>Standard</t>
        </is>
      </c>
      <c r="F25" s="15" t="inlineStr">
        <is>
          <t>Ceiling fan wobbling at high speed</t>
        </is>
      </c>
      <c r="G25" s="13" t="inlineStr">
        <is>
          <t>M. Torres</t>
        </is>
      </c>
      <c r="H25" s="13" t="inlineStr">
        <is>
          <t>Closed</t>
        </is>
      </c>
      <c r="I25" s="14" t="n">
        <v>46282</v>
      </c>
      <c r="J25" s="16">
        <f>IF(E25="Emergency",1,IF(E25="High",3,IF(E25="Standard",7,14)))</f>
        <v/>
      </c>
      <c r="K25" s="17">
        <f>IF(H25="Closed",I25-B25,TODAY()-B25)</f>
        <v/>
      </c>
      <c r="L25" s="16">
        <f>IF(H25="Closed","Closed",IF(K25&gt;J25,"Breached",IF(K25&gt;=J25-1,"At Risk","On Track")))</f>
        <v/>
      </c>
      <c r="M25">
        <f>IF($L25="Breached",COUNTIF($L$2:$L25,"Breached"),"")</f>
        <v/>
      </c>
      <c r="N25">
        <f>IF($L25="At Risk",COUNTIF($L$2:$L25,"At Risk"),"")</f>
        <v/>
      </c>
    </row>
    <row r="26">
      <c r="A26" s="13" t="inlineStr">
        <is>
          <t>WO-1025</t>
        </is>
      </c>
      <c r="B26" s="14" t="n">
        <v>46280</v>
      </c>
      <c r="C26" s="13" t="inlineStr">
        <is>
          <t>D-108</t>
        </is>
      </c>
      <c r="D26" s="13" t="inlineStr">
        <is>
          <t>Pest Control</t>
        </is>
      </c>
      <c r="E26" s="13" t="inlineStr">
        <is>
          <t>High</t>
        </is>
      </c>
      <c r="F26" s="15" t="inlineStr">
        <is>
          <t>Wasp nest under stairwell eave near entry</t>
        </is>
      </c>
      <c r="G26" s="13" t="inlineStr">
        <is>
          <t>Vendor: Apex</t>
        </is>
      </c>
      <c r="H26" s="13" t="inlineStr">
        <is>
          <t>Closed</t>
        </is>
      </c>
      <c r="I26" s="14" t="n">
        <v>46281</v>
      </c>
      <c r="J26" s="16">
        <f>IF(E26="Emergency",1,IF(E26="High",3,IF(E26="Standard",7,14)))</f>
        <v/>
      </c>
      <c r="K26" s="17">
        <f>IF(H26="Closed",I26-B26,TODAY()-B26)</f>
        <v/>
      </c>
      <c r="L26" s="16">
        <f>IF(H26="Closed","Closed",IF(K26&gt;J26,"Breached",IF(K26&gt;=J26-1,"At Risk","On Track")))</f>
        <v/>
      </c>
      <c r="M26">
        <f>IF($L26="Breached",COUNTIF($L$2:$L26,"Breached"),"")</f>
        <v/>
      </c>
      <c r="N26">
        <f>IF($L26="At Risk",COUNTIF($L$2:$L26,"At Risk"),"")</f>
        <v/>
      </c>
    </row>
    <row r="27">
      <c r="A27" s="13" t="inlineStr">
        <is>
          <t>WO-1026</t>
        </is>
      </c>
      <c r="B27" s="14" t="n">
        <v>46279</v>
      </c>
      <c r="C27" s="13" t="inlineStr">
        <is>
          <t>B-218</t>
        </is>
      </c>
      <c r="D27" s="13" t="inlineStr">
        <is>
          <t>HVAC</t>
        </is>
      </c>
      <c r="E27" s="13" t="inlineStr">
        <is>
          <t>Standard</t>
        </is>
      </c>
      <c r="F27" s="15" t="inlineStr">
        <is>
          <t>Annual filter + coil check (preventive)</t>
        </is>
      </c>
      <c r="G27" s="13" t="inlineStr">
        <is>
          <t>D. Kim</t>
        </is>
      </c>
      <c r="H27" s="13" t="inlineStr">
        <is>
          <t>Closed</t>
        </is>
      </c>
      <c r="I27" s="14" t="n">
        <v>46279</v>
      </c>
      <c r="J27" s="16">
        <f>IF(E27="Emergency",1,IF(E27="High",3,IF(E27="Standard",7,14)))</f>
        <v/>
      </c>
      <c r="K27" s="17">
        <f>IF(H27="Closed",I27-B27,TODAY()-B27)</f>
        <v/>
      </c>
      <c r="L27" s="16">
        <f>IF(H27="Closed","Closed",IF(K27&gt;J27,"Breached",IF(K27&gt;=J27-1,"At Risk","On Track")))</f>
        <v/>
      </c>
      <c r="M27">
        <f>IF($L27="Breached",COUNTIF($L$2:$L27,"Breached"),"")</f>
        <v/>
      </c>
      <c r="N27">
        <f>IF($L27="At Risk",COUNTIF($L$2:$L27,"At Risk"),"")</f>
        <v/>
      </c>
    </row>
    <row r="28">
      <c r="A28" s="13" t="inlineStr">
        <is>
          <t>WO-1027</t>
        </is>
      </c>
      <c r="B28" s="14" t="n">
        <v>46277</v>
      </c>
      <c r="C28" s="13" t="inlineStr">
        <is>
          <t>C-318</t>
        </is>
      </c>
      <c r="D28" s="13" t="inlineStr">
        <is>
          <t>Plumbing</t>
        </is>
      </c>
      <c r="E28" s="13" t="inlineStr">
        <is>
          <t>Low</t>
        </is>
      </c>
      <c r="F28" s="15" t="inlineStr">
        <is>
          <t>Slow drip at tub spout when off</t>
        </is>
      </c>
      <c r="G28" s="13" t="inlineStr">
        <is>
          <t>Unassigned</t>
        </is>
      </c>
      <c r="H28" s="13" t="inlineStr">
        <is>
          <t>Open</t>
        </is>
      </c>
      <c r="I28" s="13" t="n"/>
      <c r="J28" s="16">
        <f>IF(E28="Emergency",1,IF(E28="High",3,IF(E28="Standard",7,14)))</f>
        <v/>
      </c>
      <c r="K28" s="17">
        <f>IF(H28="Closed",I28-B28,TODAY()-B28)</f>
        <v/>
      </c>
      <c r="L28" s="16">
        <f>IF(H28="Closed","Closed",IF(K28&gt;J28,"Breached",IF(K28&gt;=J28-1,"At Risk","On Track")))</f>
        <v/>
      </c>
      <c r="M28">
        <f>IF($L28="Breached",COUNTIF($L$2:$L28,"Breached"),"")</f>
        <v/>
      </c>
      <c r="N28">
        <f>IF($L28="At Risk",COUNTIF($L$2:$L28,"At Risk"),"")</f>
        <v/>
      </c>
    </row>
    <row r="29">
      <c r="A29" s="13" t="inlineStr">
        <is>
          <t>WO-1028</t>
        </is>
      </c>
      <c r="B29" s="14" t="n">
        <v>46275</v>
      </c>
      <c r="C29" s="13" t="inlineStr">
        <is>
          <t>A-112</t>
        </is>
      </c>
      <c r="D29" s="13" t="inlineStr">
        <is>
          <t>Interior</t>
        </is>
      </c>
      <c r="E29" s="13" t="inlineStr">
        <is>
          <t>Low</t>
        </is>
      </c>
      <c r="F29" s="15" t="inlineStr">
        <is>
          <t>Touch-up paint: hallway scuffs</t>
        </is>
      </c>
      <c r="G29" s="13" t="inlineStr">
        <is>
          <t>A. Johnson</t>
        </is>
      </c>
      <c r="H29" s="13" t="inlineStr">
        <is>
          <t>Open</t>
        </is>
      </c>
      <c r="I29" s="13" t="n"/>
      <c r="J29" s="16">
        <f>IF(E29="Emergency",1,IF(E29="High",3,IF(E29="Standard",7,14)))</f>
        <v/>
      </c>
      <c r="K29" s="17">
        <f>IF(H29="Closed",I29-B29,TODAY()-B29)</f>
        <v/>
      </c>
      <c r="L29" s="16">
        <f>IF(H29="Closed","Closed",IF(K29&gt;J29,"Breached",IF(K29&gt;=J29-1,"At Risk","On Track")))</f>
        <v/>
      </c>
      <c r="M29">
        <f>IF($L29="Breached",COUNTIF($L$2:$L29,"Breached"),"")</f>
        <v/>
      </c>
      <c r="N29">
        <f>IF($L29="At Risk",COUNTIF($L$2:$L29,"At Risk"),"")</f>
        <v/>
      </c>
    </row>
    <row r="30">
      <c r="M30">
        <f>IF($L30="Breached",COUNTIF($L$2:$L30,"Breached"),"")</f>
        <v/>
      </c>
      <c r="N30">
        <f>IF($L30="At Risk",COUNTIF($L$2:$L30,"At Risk"),"")</f>
        <v/>
      </c>
    </row>
    <row r="31">
      <c r="M31">
        <f>IF($L31="Breached",COUNTIF($L$2:$L31,"Breached"),"")</f>
        <v/>
      </c>
      <c r="N31">
        <f>IF($L31="At Risk",COUNTIF($L$2:$L31,"At Risk"),"")</f>
        <v/>
      </c>
    </row>
    <row r="32">
      <c r="M32">
        <f>IF($L32="Breached",COUNTIF($L$2:$L32,"Breached"),"")</f>
        <v/>
      </c>
      <c r="N32">
        <f>IF($L32="At Risk",COUNTIF($L$2:$L32,"At Risk"),"")</f>
        <v/>
      </c>
    </row>
    <row r="33">
      <c r="M33">
        <f>IF($L33="Breached",COUNTIF($L$2:$L33,"Breached"),"")</f>
        <v/>
      </c>
      <c r="N33">
        <f>IF($L33="At Risk",COUNTIF($L$2:$L33,"At Risk"),"")</f>
        <v/>
      </c>
    </row>
    <row r="34">
      <c r="M34">
        <f>IF($L34="Breached",COUNTIF($L$2:$L34,"Breached"),"")</f>
        <v/>
      </c>
      <c r="N34">
        <f>IF($L34="At Risk",COUNTIF($L$2:$L34,"At Risk"),"")</f>
        <v/>
      </c>
    </row>
    <row r="35">
      <c r="M35">
        <f>IF($L35="Breached",COUNTIF($L$2:$L35,"Breached"),"")</f>
        <v/>
      </c>
      <c r="N35">
        <f>IF($L35="At Risk",COUNTIF($L$2:$L35,"At Risk"),"")</f>
        <v/>
      </c>
    </row>
    <row r="36">
      <c r="M36">
        <f>IF($L36="Breached",COUNTIF($L$2:$L36,"Breached"),"")</f>
        <v/>
      </c>
      <c r="N36">
        <f>IF($L36="At Risk",COUNTIF($L$2:$L36,"At Risk"),"")</f>
        <v/>
      </c>
    </row>
    <row r="37">
      <c r="M37">
        <f>IF($L37="Breached",COUNTIF($L$2:$L37,"Breached"),"")</f>
        <v/>
      </c>
      <c r="N37">
        <f>IF($L37="At Risk",COUNTIF($L$2:$L37,"At Risk"),"")</f>
        <v/>
      </c>
    </row>
    <row r="38">
      <c r="M38">
        <f>IF($L38="Breached",COUNTIF($L$2:$L38,"Breached"),"")</f>
        <v/>
      </c>
      <c r="N38">
        <f>IF($L38="At Risk",COUNTIF($L$2:$L38,"At Risk"),"")</f>
        <v/>
      </c>
    </row>
    <row r="39">
      <c r="M39">
        <f>IF($L39="Breached",COUNTIF($L$2:$L39,"Breached"),"")</f>
        <v/>
      </c>
      <c r="N39">
        <f>IF($L39="At Risk",COUNTIF($L$2:$L39,"At Risk"),"")</f>
        <v/>
      </c>
    </row>
    <row r="40">
      <c r="M40">
        <f>IF($L40="Breached",COUNTIF($L$2:$L40,"Breached"),"")</f>
        <v/>
      </c>
      <c r="N40">
        <f>IF($L40="At Risk",COUNTIF($L$2:$L40,"At Risk"),"")</f>
        <v/>
      </c>
    </row>
    <row r="41">
      <c r="M41">
        <f>IF($L41="Breached",COUNTIF($L$2:$L41,"Breached"),"")</f>
        <v/>
      </c>
      <c r="N41">
        <f>IF($L41="At Risk",COUNTIF($L$2:$L41,"At Risk"),"")</f>
        <v/>
      </c>
    </row>
    <row r="42">
      <c r="M42">
        <f>IF($L42="Breached",COUNTIF($L$2:$L42,"Breached"),"")</f>
        <v/>
      </c>
      <c r="N42">
        <f>IF($L42="At Risk",COUNTIF($L$2:$L42,"At Risk"),"")</f>
        <v/>
      </c>
    </row>
    <row r="43">
      <c r="M43">
        <f>IF($L43="Breached",COUNTIF($L$2:$L43,"Breached"),"")</f>
        <v/>
      </c>
      <c r="N43">
        <f>IF($L43="At Risk",COUNTIF($L$2:$L43,"At Risk"),"")</f>
        <v/>
      </c>
    </row>
    <row r="44">
      <c r="M44">
        <f>IF($L44="Breached",COUNTIF($L$2:$L44,"Breached"),"")</f>
        <v/>
      </c>
      <c r="N44">
        <f>IF($L44="At Risk",COUNTIF($L$2:$L44,"At Risk"),"")</f>
        <v/>
      </c>
    </row>
    <row r="45">
      <c r="M45">
        <f>IF($L45="Breached",COUNTIF($L$2:$L45,"Breached"),"")</f>
        <v/>
      </c>
      <c r="N45">
        <f>IF($L45="At Risk",COUNTIF($L$2:$L45,"At Risk"),"")</f>
        <v/>
      </c>
    </row>
    <row r="46">
      <c r="M46">
        <f>IF($L46="Breached",COUNTIF($L$2:$L46,"Breached"),"")</f>
        <v/>
      </c>
      <c r="N46">
        <f>IF($L46="At Risk",COUNTIF($L$2:$L46,"At Risk"),"")</f>
        <v/>
      </c>
    </row>
    <row r="47">
      <c r="M47">
        <f>IF($L47="Breached",COUNTIF($L$2:$L47,"Breached"),"")</f>
        <v/>
      </c>
      <c r="N47">
        <f>IF($L47="At Risk",COUNTIF($L$2:$L47,"At Risk"),"")</f>
        <v/>
      </c>
    </row>
    <row r="48">
      <c r="M48">
        <f>IF($L48="Breached",COUNTIF($L$2:$L48,"Breached"),"")</f>
        <v/>
      </c>
      <c r="N48">
        <f>IF($L48="At Risk",COUNTIF($L$2:$L48,"At Risk"),"")</f>
        <v/>
      </c>
    </row>
    <row r="49">
      <c r="M49">
        <f>IF($L49="Breached",COUNTIF($L$2:$L49,"Breached"),"")</f>
        <v/>
      </c>
      <c r="N49">
        <f>IF($L49="At Risk",COUNTIF($L$2:$L49,"At Risk"),"")</f>
        <v/>
      </c>
    </row>
    <row r="50">
      <c r="M50">
        <f>IF($L50="Breached",COUNTIF($L$2:$L50,"Breached"),"")</f>
        <v/>
      </c>
      <c r="N50">
        <f>IF($L50="At Risk",COUNTIF($L$2:$L50,"At Risk"),"")</f>
        <v/>
      </c>
    </row>
    <row r="51">
      <c r="M51">
        <f>IF($L51="Breached",COUNTIF($L$2:$L51,"Breached"),"")</f>
        <v/>
      </c>
      <c r="N51">
        <f>IF($L51="At Risk",COUNTIF($L$2:$L51,"At Risk"),"")</f>
        <v/>
      </c>
    </row>
    <row r="52">
      <c r="M52">
        <f>IF($L52="Breached",COUNTIF($L$2:$L52,"Breached"),"")</f>
        <v/>
      </c>
      <c r="N52">
        <f>IF($L52="At Risk",COUNTIF($L$2:$L52,"At Risk"),"")</f>
        <v/>
      </c>
    </row>
    <row r="53">
      <c r="M53">
        <f>IF($L53="Breached",COUNTIF($L$2:$L53,"Breached"),"")</f>
        <v/>
      </c>
      <c r="N53">
        <f>IF($L53="At Risk",COUNTIF($L$2:$L53,"At Risk"),"")</f>
        <v/>
      </c>
    </row>
    <row r="54">
      <c r="M54">
        <f>IF($L54="Breached",COUNTIF($L$2:$L54,"Breached"),"")</f>
        <v/>
      </c>
      <c r="N54">
        <f>IF($L54="At Risk",COUNTIF($L$2:$L54,"At Risk"),"")</f>
        <v/>
      </c>
    </row>
    <row r="55">
      <c r="M55">
        <f>IF($L55="Breached",COUNTIF($L$2:$L55,"Breached"),"")</f>
        <v/>
      </c>
      <c r="N55">
        <f>IF($L55="At Risk",COUNTIF($L$2:$L55,"At Risk"),"")</f>
        <v/>
      </c>
    </row>
    <row r="56">
      <c r="M56">
        <f>IF($L56="Breached",COUNTIF($L$2:$L56,"Breached"),"")</f>
        <v/>
      </c>
      <c r="N56">
        <f>IF($L56="At Risk",COUNTIF($L$2:$L56,"At Risk"),"")</f>
        <v/>
      </c>
    </row>
    <row r="57">
      <c r="M57">
        <f>IF($L57="Breached",COUNTIF($L$2:$L57,"Breached"),"")</f>
        <v/>
      </c>
      <c r="N57">
        <f>IF($L57="At Risk",COUNTIF($L$2:$L57,"At Risk"),"")</f>
        <v/>
      </c>
    </row>
    <row r="58">
      <c r="M58">
        <f>IF($L58="Breached",COUNTIF($L$2:$L58,"Breached"),"")</f>
        <v/>
      </c>
      <c r="N58">
        <f>IF($L58="At Risk",COUNTIF($L$2:$L58,"At Risk"),"")</f>
        <v/>
      </c>
    </row>
    <row r="59">
      <c r="M59">
        <f>IF($L59="Breached",COUNTIF($L$2:$L59,"Breached"),"")</f>
        <v/>
      </c>
      <c r="N59">
        <f>IF($L59="At Risk",COUNTIF($L$2:$L59,"At Risk"),"")</f>
        <v/>
      </c>
    </row>
    <row r="60">
      <c r="M60">
        <f>IF($L60="Breached",COUNTIF($L$2:$L60,"Breached"),"")</f>
        <v/>
      </c>
      <c r="N60">
        <f>IF($L60="At Risk",COUNTIF($L$2:$L60,"At Risk"),"")</f>
        <v/>
      </c>
    </row>
    <row r="61">
      <c r="M61">
        <f>IF($L61="Breached",COUNTIF($L$2:$L61,"Breached"),"")</f>
        <v/>
      </c>
      <c r="N61">
        <f>IF($L61="At Risk",COUNTIF($L$2:$L61,"At Risk"),"")</f>
        <v/>
      </c>
    </row>
    <row r="62">
      <c r="M62">
        <f>IF($L62="Breached",COUNTIF($L$2:$L62,"Breached"),"")</f>
        <v/>
      </c>
      <c r="N62">
        <f>IF($L62="At Risk",COUNTIF($L$2:$L62,"At Risk"),"")</f>
        <v/>
      </c>
    </row>
    <row r="63">
      <c r="M63">
        <f>IF($L63="Breached",COUNTIF($L$2:$L63,"Breached"),"")</f>
        <v/>
      </c>
      <c r="N63">
        <f>IF($L63="At Risk",COUNTIF($L$2:$L63,"At Risk"),"")</f>
        <v/>
      </c>
    </row>
    <row r="64">
      <c r="M64">
        <f>IF($L64="Breached",COUNTIF($L$2:$L64,"Breached"),"")</f>
        <v/>
      </c>
      <c r="N64">
        <f>IF($L64="At Risk",COUNTIF($L$2:$L64,"At Risk"),"")</f>
        <v/>
      </c>
    </row>
    <row r="65">
      <c r="M65">
        <f>IF($L65="Breached",COUNTIF($L$2:$L65,"Breached"),"")</f>
        <v/>
      </c>
      <c r="N65">
        <f>IF($L65="At Risk",COUNTIF($L$2:$L65,"At Risk"),"")</f>
        <v/>
      </c>
    </row>
    <row r="66">
      <c r="M66">
        <f>IF($L66="Breached",COUNTIF($L$2:$L66,"Breached"),"")</f>
        <v/>
      </c>
      <c r="N66">
        <f>IF($L66="At Risk",COUNTIF($L$2:$L66,"At Risk"),"")</f>
        <v/>
      </c>
    </row>
    <row r="67">
      <c r="M67">
        <f>IF($L67="Breached",COUNTIF($L$2:$L67,"Breached"),"")</f>
        <v/>
      </c>
      <c r="N67">
        <f>IF($L67="At Risk",COUNTIF($L$2:$L67,"At Risk"),"")</f>
        <v/>
      </c>
    </row>
    <row r="68">
      <c r="M68">
        <f>IF($L68="Breached",COUNTIF($L$2:$L68,"Breached"),"")</f>
        <v/>
      </c>
      <c r="N68">
        <f>IF($L68="At Risk",COUNTIF($L$2:$L68,"At Risk"),"")</f>
        <v/>
      </c>
    </row>
    <row r="69">
      <c r="M69">
        <f>IF($L69="Breached",COUNTIF($L$2:$L69,"Breached"),"")</f>
        <v/>
      </c>
      <c r="N69">
        <f>IF($L69="At Risk",COUNTIF($L$2:$L69,"At Risk"),"")</f>
        <v/>
      </c>
    </row>
    <row r="70">
      <c r="M70">
        <f>IF($L70="Breached",COUNTIF($L$2:$L70,"Breached"),"")</f>
        <v/>
      </c>
      <c r="N70">
        <f>IF($L70="At Risk",COUNTIF($L$2:$L70,"At Risk"),"")</f>
        <v/>
      </c>
    </row>
    <row r="71">
      <c r="M71">
        <f>IF($L71="Breached",COUNTIF($L$2:$L71,"Breached"),"")</f>
        <v/>
      </c>
      <c r="N71">
        <f>IF($L71="At Risk",COUNTIF($L$2:$L71,"At Risk"),"")</f>
        <v/>
      </c>
    </row>
    <row r="72">
      <c r="M72">
        <f>IF($L72="Breached",COUNTIF($L$2:$L72,"Breached"),"")</f>
        <v/>
      </c>
      <c r="N72">
        <f>IF($L72="At Risk",COUNTIF($L$2:$L72,"At Risk"),"")</f>
        <v/>
      </c>
    </row>
    <row r="73">
      <c r="M73">
        <f>IF($L73="Breached",COUNTIF($L$2:$L73,"Breached"),"")</f>
        <v/>
      </c>
      <c r="N73">
        <f>IF($L73="At Risk",COUNTIF($L$2:$L73,"At Risk"),"")</f>
        <v/>
      </c>
    </row>
    <row r="74">
      <c r="M74">
        <f>IF($L74="Breached",COUNTIF($L$2:$L74,"Breached"),"")</f>
        <v/>
      </c>
      <c r="N74">
        <f>IF($L74="At Risk",COUNTIF($L$2:$L74,"At Risk"),"")</f>
        <v/>
      </c>
    </row>
    <row r="75">
      <c r="M75">
        <f>IF($L75="Breached",COUNTIF($L$2:$L75,"Breached"),"")</f>
        <v/>
      </c>
      <c r="N75">
        <f>IF($L75="At Risk",COUNTIF($L$2:$L75,"At Risk"),"")</f>
        <v/>
      </c>
    </row>
    <row r="76">
      <c r="M76">
        <f>IF($L76="Breached",COUNTIF($L$2:$L76,"Breached"),"")</f>
        <v/>
      </c>
      <c r="N76">
        <f>IF($L76="At Risk",COUNTIF($L$2:$L76,"At Risk"),"")</f>
        <v/>
      </c>
    </row>
    <row r="77">
      <c r="M77">
        <f>IF($L77="Breached",COUNTIF($L$2:$L77,"Breached"),"")</f>
        <v/>
      </c>
      <c r="N77">
        <f>IF($L77="At Risk",COUNTIF($L$2:$L77,"At Risk"),"")</f>
        <v/>
      </c>
    </row>
    <row r="78">
      <c r="M78">
        <f>IF($L78="Breached",COUNTIF($L$2:$L78,"Breached"),"")</f>
        <v/>
      </c>
      <c r="N78">
        <f>IF($L78="At Risk",COUNTIF($L$2:$L78,"At Risk"),"")</f>
        <v/>
      </c>
    </row>
    <row r="79">
      <c r="M79">
        <f>IF($L79="Breached",COUNTIF($L$2:$L79,"Breached"),"")</f>
        <v/>
      </c>
      <c r="N79">
        <f>IF($L79="At Risk",COUNTIF($L$2:$L79,"At Risk"),"")</f>
        <v/>
      </c>
    </row>
    <row r="80">
      <c r="M80">
        <f>IF($L80="Breached",COUNTIF($L$2:$L80,"Breached"),"")</f>
        <v/>
      </c>
      <c r="N80">
        <f>IF($L80="At Risk",COUNTIF($L$2:$L80,"At Risk"),"")</f>
        <v/>
      </c>
    </row>
    <row r="81">
      <c r="M81">
        <f>IF($L81="Breached",COUNTIF($L$2:$L81,"Breached"),"")</f>
        <v/>
      </c>
      <c r="N81">
        <f>IF($L81="At Risk",COUNTIF($L$2:$L81,"At Risk"),"")</f>
        <v/>
      </c>
    </row>
    <row r="82">
      <c r="M82">
        <f>IF($L82="Breached",COUNTIF($L$2:$L82,"Breached"),"")</f>
        <v/>
      </c>
      <c r="N82">
        <f>IF($L82="At Risk",COUNTIF($L$2:$L82,"At Risk"),"")</f>
        <v/>
      </c>
    </row>
    <row r="83">
      <c r="M83">
        <f>IF($L83="Breached",COUNTIF($L$2:$L83,"Breached"),"")</f>
        <v/>
      </c>
      <c r="N83">
        <f>IF($L83="At Risk",COUNTIF($L$2:$L83,"At Risk"),"")</f>
        <v/>
      </c>
    </row>
    <row r="84">
      <c r="M84">
        <f>IF($L84="Breached",COUNTIF($L$2:$L84,"Breached"),"")</f>
        <v/>
      </c>
      <c r="N84">
        <f>IF($L84="At Risk",COUNTIF($L$2:$L84,"At Risk"),"")</f>
        <v/>
      </c>
    </row>
    <row r="85">
      <c r="M85">
        <f>IF($L85="Breached",COUNTIF($L$2:$L85,"Breached"),"")</f>
        <v/>
      </c>
      <c r="N85">
        <f>IF($L85="At Risk",COUNTIF($L$2:$L85,"At Risk"),"")</f>
        <v/>
      </c>
    </row>
    <row r="86">
      <c r="M86">
        <f>IF($L86="Breached",COUNTIF($L$2:$L86,"Breached"),"")</f>
        <v/>
      </c>
      <c r="N86">
        <f>IF($L86="At Risk",COUNTIF($L$2:$L86,"At Risk"),"")</f>
        <v/>
      </c>
    </row>
    <row r="87">
      <c r="M87">
        <f>IF($L87="Breached",COUNTIF($L$2:$L87,"Breached"),"")</f>
        <v/>
      </c>
      <c r="N87">
        <f>IF($L87="At Risk",COUNTIF($L$2:$L87,"At Risk"),"")</f>
        <v/>
      </c>
    </row>
    <row r="88">
      <c r="M88">
        <f>IF($L88="Breached",COUNTIF($L$2:$L88,"Breached"),"")</f>
        <v/>
      </c>
      <c r="N88">
        <f>IF($L88="At Risk",COUNTIF($L$2:$L88,"At Risk"),"")</f>
        <v/>
      </c>
    </row>
    <row r="89">
      <c r="M89">
        <f>IF($L89="Breached",COUNTIF($L$2:$L89,"Breached"),"")</f>
        <v/>
      </c>
      <c r="N89">
        <f>IF($L89="At Risk",COUNTIF($L$2:$L89,"At Risk"),"")</f>
        <v/>
      </c>
    </row>
    <row r="90">
      <c r="M90">
        <f>IF($L90="Breached",COUNTIF($L$2:$L90,"Breached"),"")</f>
        <v/>
      </c>
      <c r="N90">
        <f>IF($L90="At Risk",COUNTIF($L$2:$L90,"At Risk"),"")</f>
        <v/>
      </c>
    </row>
    <row r="91">
      <c r="M91">
        <f>IF($L91="Breached",COUNTIF($L$2:$L91,"Breached"),"")</f>
        <v/>
      </c>
      <c r="N91">
        <f>IF($L91="At Risk",COUNTIF($L$2:$L91,"At Risk"),"")</f>
        <v/>
      </c>
    </row>
    <row r="92">
      <c r="M92">
        <f>IF($L92="Breached",COUNTIF($L$2:$L92,"Breached"),"")</f>
        <v/>
      </c>
      <c r="N92">
        <f>IF($L92="At Risk",COUNTIF($L$2:$L92,"At Risk"),"")</f>
        <v/>
      </c>
    </row>
    <row r="93">
      <c r="M93">
        <f>IF($L93="Breached",COUNTIF($L$2:$L93,"Breached"),"")</f>
        <v/>
      </c>
      <c r="N93">
        <f>IF($L93="At Risk",COUNTIF($L$2:$L93,"At Risk"),"")</f>
        <v/>
      </c>
    </row>
    <row r="94">
      <c r="M94">
        <f>IF($L94="Breached",COUNTIF($L$2:$L94,"Breached"),"")</f>
        <v/>
      </c>
      <c r="N94">
        <f>IF($L94="At Risk",COUNTIF($L$2:$L94,"At Risk"),"")</f>
        <v/>
      </c>
    </row>
    <row r="95">
      <c r="M95">
        <f>IF($L95="Breached",COUNTIF($L$2:$L95,"Breached"),"")</f>
        <v/>
      </c>
      <c r="N95">
        <f>IF($L95="At Risk",COUNTIF($L$2:$L95,"At Risk"),"")</f>
        <v/>
      </c>
    </row>
    <row r="96">
      <c r="M96">
        <f>IF($L96="Breached",COUNTIF($L$2:$L96,"Breached"),"")</f>
        <v/>
      </c>
      <c r="N96">
        <f>IF($L96="At Risk",COUNTIF($L$2:$L96,"At Risk"),"")</f>
        <v/>
      </c>
    </row>
    <row r="97">
      <c r="M97">
        <f>IF($L97="Breached",COUNTIF($L$2:$L97,"Breached"),"")</f>
        <v/>
      </c>
      <c r="N97">
        <f>IF($L97="At Risk",COUNTIF($L$2:$L97,"At Risk"),"")</f>
        <v/>
      </c>
    </row>
    <row r="98">
      <c r="M98">
        <f>IF($L98="Breached",COUNTIF($L$2:$L98,"Breached"),"")</f>
        <v/>
      </c>
      <c r="N98">
        <f>IF($L98="At Risk",COUNTIF($L$2:$L98,"At Risk"),"")</f>
        <v/>
      </c>
    </row>
    <row r="99">
      <c r="M99">
        <f>IF($L99="Breached",COUNTIF($L$2:$L99,"Breached"),"")</f>
        <v/>
      </c>
      <c r="N99">
        <f>IF($L99="At Risk",COUNTIF($L$2:$L99,"At Risk"),"")</f>
        <v/>
      </c>
    </row>
    <row r="100">
      <c r="M100">
        <f>IF($L100="Breached",COUNTIF($L$2:$L100,"Breached"),"")</f>
        <v/>
      </c>
      <c r="N100">
        <f>IF($L100="At Risk",COUNTIF($L$2:$L100,"At Risk"),"")</f>
        <v/>
      </c>
    </row>
    <row r="101">
      <c r="M101">
        <f>IF($L101="Breached",COUNTIF($L$2:$L101,"Breached"),"")</f>
        <v/>
      </c>
      <c r="N101">
        <f>IF($L101="At Risk",COUNTIF($L$2:$L101,"At Risk"),"")</f>
        <v/>
      </c>
    </row>
    <row r="102">
      <c r="M102">
        <f>IF($L102="Breached",COUNTIF($L$2:$L102,"Breached"),"")</f>
        <v/>
      </c>
      <c r="N102">
        <f>IF($L102="At Risk",COUNTIF($L$2:$L102,"At Risk"),"")</f>
        <v/>
      </c>
    </row>
    <row r="103">
      <c r="M103">
        <f>IF($L103="Breached",COUNTIF($L$2:$L103,"Breached"),"")</f>
        <v/>
      </c>
      <c r="N103">
        <f>IF($L103="At Risk",COUNTIF($L$2:$L103,"At Risk"),"")</f>
        <v/>
      </c>
    </row>
    <row r="104">
      <c r="M104">
        <f>IF($L104="Breached",COUNTIF($L$2:$L104,"Breached"),"")</f>
        <v/>
      </c>
      <c r="N104">
        <f>IF($L104="At Risk",COUNTIF($L$2:$L104,"At Risk"),"")</f>
        <v/>
      </c>
    </row>
    <row r="105">
      <c r="M105">
        <f>IF($L105="Breached",COUNTIF($L$2:$L105,"Breached"),"")</f>
        <v/>
      </c>
      <c r="N105">
        <f>IF($L105="At Risk",COUNTIF($L$2:$L105,"At Risk"),"")</f>
        <v/>
      </c>
    </row>
    <row r="106">
      <c r="M106">
        <f>IF($L106="Breached",COUNTIF($L$2:$L106,"Breached"),"")</f>
        <v/>
      </c>
      <c r="N106">
        <f>IF($L106="At Risk",COUNTIF($L$2:$L106,"At Risk"),"")</f>
        <v/>
      </c>
    </row>
    <row r="107">
      <c r="M107">
        <f>IF($L107="Breached",COUNTIF($L$2:$L107,"Breached"),"")</f>
        <v/>
      </c>
      <c r="N107">
        <f>IF($L107="At Risk",COUNTIF($L$2:$L107,"At Risk"),"")</f>
        <v/>
      </c>
    </row>
    <row r="108">
      <c r="M108">
        <f>IF($L108="Breached",COUNTIF($L$2:$L108,"Breached"),"")</f>
        <v/>
      </c>
      <c r="N108">
        <f>IF($L108="At Risk",COUNTIF($L$2:$L108,"At Risk"),"")</f>
        <v/>
      </c>
    </row>
    <row r="109">
      <c r="M109">
        <f>IF($L109="Breached",COUNTIF($L$2:$L109,"Breached"),"")</f>
        <v/>
      </c>
      <c r="N109">
        <f>IF($L109="At Risk",COUNTIF($L$2:$L109,"At Risk"),"")</f>
        <v/>
      </c>
    </row>
    <row r="110">
      <c r="M110">
        <f>IF($L110="Breached",COUNTIF($L$2:$L110,"Breached"),"")</f>
        <v/>
      </c>
      <c r="N110">
        <f>IF($L110="At Risk",COUNTIF($L$2:$L110,"At Risk"),"")</f>
        <v/>
      </c>
    </row>
    <row r="111">
      <c r="M111">
        <f>IF($L111="Breached",COUNTIF($L$2:$L111,"Breached"),"")</f>
        <v/>
      </c>
      <c r="N111">
        <f>IF($L111="At Risk",COUNTIF($L$2:$L111,"At Risk"),"")</f>
        <v/>
      </c>
    </row>
    <row r="112">
      <c r="M112">
        <f>IF($L112="Breached",COUNTIF($L$2:$L112,"Breached"),"")</f>
        <v/>
      </c>
      <c r="N112">
        <f>IF($L112="At Risk",COUNTIF($L$2:$L112,"At Risk"),"")</f>
        <v/>
      </c>
    </row>
    <row r="113">
      <c r="M113">
        <f>IF($L113="Breached",COUNTIF($L$2:$L113,"Breached"),"")</f>
        <v/>
      </c>
      <c r="N113">
        <f>IF($L113="At Risk",COUNTIF($L$2:$L113,"At Risk"),"")</f>
        <v/>
      </c>
    </row>
    <row r="114">
      <c r="M114">
        <f>IF($L114="Breached",COUNTIF($L$2:$L114,"Breached"),"")</f>
        <v/>
      </c>
      <c r="N114">
        <f>IF($L114="At Risk",COUNTIF($L$2:$L114,"At Risk"),"")</f>
        <v/>
      </c>
    </row>
    <row r="115">
      <c r="M115">
        <f>IF($L115="Breached",COUNTIF($L$2:$L115,"Breached"),"")</f>
        <v/>
      </c>
      <c r="N115">
        <f>IF($L115="At Risk",COUNTIF($L$2:$L115,"At Risk"),"")</f>
        <v/>
      </c>
    </row>
    <row r="116">
      <c r="M116">
        <f>IF($L116="Breached",COUNTIF($L$2:$L116,"Breached"),"")</f>
        <v/>
      </c>
      <c r="N116">
        <f>IF($L116="At Risk",COUNTIF($L$2:$L116,"At Risk"),"")</f>
        <v/>
      </c>
    </row>
    <row r="117">
      <c r="M117">
        <f>IF($L117="Breached",COUNTIF($L$2:$L117,"Breached"),"")</f>
        <v/>
      </c>
      <c r="N117">
        <f>IF($L117="At Risk",COUNTIF($L$2:$L117,"At Risk"),"")</f>
        <v/>
      </c>
    </row>
    <row r="118">
      <c r="M118">
        <f>IF($L118="Breached",COUNTIF($L$2:$L118,"Breached"),"")</f>
        <v/>
      </c>
      <c r="N118">
        <f>IF($L118="At Risk",COUNTIF($L$2:$L118,"At Risk"),"")</f>
        <v/>
      </c>
    </row>
    <row r="119">
      <c r="M119">
        <f>IF($L119="Breached",COUNTIF($L$2:$L119,"Breached"),"")</f>
        <v/>
      </c>
      <c r="N119">
        <f>IF($L119="At Risk",COUNTIF($L$2:$L119,"At Risk"),"")</f>
        <v/>
      </c>
    </row>
    <row r="120">
      <c r="M120">
        <f>IF($L120="Breached",COUNTIF($L$2:$L120,"Breached"),"")</f>
        <v/>
      </c>
      <c r="N120">
        <f>IF($L120="At Risk",COUNTIF($L$2:$L120,"At Risk"),"")</f>
        <v/>
      </c>
    </row>
    <row r="121">
      <c r="M121">
        <f>IF($L121="Breached",COUNTIF($L$2:$L121,"Breached"),"")</f>
        <v/>
      </c>
      <c r="N121">
        <f>IF($L121="At Risk",COUNTIF($L$2:$L121,"At Risk"),"")</f>
        <v/>
      </c>
    </row>
    <row r="122">
      <c r="M122">
        <f>IF($L122="Breached",COUNTIF($L$2:$L122,"Breached"),"")</f>
        <v/>
      </c>
      <c r="N122">
        <f>IF($L122="At Risk",COUNTIF($L$2:$L122,"At Risk"),"")</f>
        <v/>
      </c>
    </row>
    <row r="123">
      <c r="M123">
        <f>IF($L123="Breached",COUNTIF($L$2:$L123,"Breached"),"")</f>
        <v/>
      </c>
      <c r="N123">
        <f>IF($L123="At Risk",COUNTIF($L$2:$L123,"At Risk"),"")</f>
        <v/>
      </c>
    </row>
    <row r="124">
      <c r="M124">
        <f>IF($L124="Breached",COUNTIF($L$2:$L124,"Breached"),"")</f>
        <v/>
      </c>
      <c r="N124">
        <f>IF($L124="At Risk",COUNTIF($L$2:$L124,"At Risk"),"")</f>
        <v/>
      </c>
    </row>
    <row r="125">
      <c r="M125">
        <f>IF($L125="Breached",COUNTIF($L$2:$L125,"Breached"),"")</f>
        <v/>
      </c>
      <c r="N125">
        <f>IF($L125="At Risk",COUNTIF($L$2:$L125,"At Risk"),"")</f>
        <v/>
      </c>
    </row>
    <row r="126">
      <c r="M126">
        <f>IF($L126="Breached",COUNTIF($L$2:$L126,"Breached"),"")</f>
        <v/>
      </c>
      <c r="N126">
        <f>IF($L126="At Risk",COUNTIF($L$2:$L126,"At Risk"),"")</f>
        <v/>
      </c>
    </row>
    <row r="127">
      <c r="M127">
        <f>IF($L127="Breached",COUNTIF($L$2:$L127,"Breached"),"")</f>
        <v/>
      </c>
      <c r="N127">
        <f>IF($L127="At Risk",COUNTIF($L$2:$L127,"At Risk"),"")</f>
        <v/>
      </c>
    </row>
    <row r="128">
      <c r="M128">
        <f>IF($L128="Breached",COUNTIF($L$2:$L128,"Breached"),"")</f>
        <v/>
      </c>
      <c r="N128">
        <f>IF($L128="At Risk",COUNTIF($L$2:$L128,"At Risk"),"")</f>
        <v/>
      </c>
    </row>
    <row r="129">
      <c r="M129">
        <f>IF($L129="Breached",COUNTIF($L$2:$L129,"Breached"),"")</f>
        <v/>
      </c>
      <c r="N129">
        <f>IF($L129="At Risk",COUNTIF($L$2:$L129,"At Risk"),"")</f>
        <v/>
      </c>
    </row>
    <row r="130">
      <c r="M130">
        <f>IF($L130="Breached",COUNTIF($L$2:$L130,"Breached"),"")</f>
        <v/>
      </c>
      <c r="N130">
        <f>IF($L130="At Risk",COUNTIF($L$2:$L130,"At Risk"),"")</f>
        <v/>
      </c>
    </row>
    <row r="131">
      <c r="M131">
        <f>IF($L131="Breached",COUNTIF($L$2:$L131,"Breached"),"")</f>
        <v/>
      </c>
      <c r="N131">
        <f>IF($L131="At Risk",COUNTIF($L$2:$L131,"At Risk"),"")</f>
        <v/>
      </c>
    </row>
    <row r="132">
      <c r="M132">
        <f>IF($L132="Breached",COUNTIF($L$2:$L132,"Breached"),"")</f>
        <v/>
      </c>
      <c r="N132">
        <f>IF($L132="At Risk",COUNTIF($L$2:$L132,"At Risk"),"")</f>
        <v/>
      </c>
    </row>
    <row r="133">
      <c r="M133">
        <f>IF($L133="Breached",COUNTIF($L$2:$L133,"Breached"),"")</f>
        <v/>
      </c>
      <c r="N133">
        <f>IF($L133="At Risk",COUNTIF($L$2:$L133,"At Risk"),"")</f>
        <v/>
      </c>
    </row>
    <row r="134">
      <c r="M134">
        <f>IF($L134="Breached",COUNTIF($L$2:$L134,"Breached"),"")</f>
        <v/>
      </c>
      <c r="N134">
        <f>IF($L134="At Risk",COUNTIF($L$2:$L134,"At Risk"),"")</f>
        <v/>
      </c>
    </row>
    <row r="135">
      <c r="M135">
        <f>IF($L135="Breached",COUNTIF($L$2:$L135,"Breached"),"")</f>
        <v/>
      </c>
      <c r="N135">
        <f>IF($L135="At Risk",COUNTIF($L$2:$L135,"At Risk"),"")</f>
        <v/>
      </c>
    </row>
    <row r="136">
      <c r="M136">
        <f>IF($L136="Breached",COUNTIF($L$2:$L136,"Breached"),"")</f>
        <v/>
      </c>
      <c r="N136">
        <f>IF($L136="At Risk",COUNTIF($L$2:$L136,"At Risk"),"")</f>
        <v/>
      </c>
    </row>
    <row r="137">
      <c r="M137">
        <f>IF($L137="Breached",COUNTIF($L$2:$L137,"Breached"),"")</f>
        <v/>
      </c>
      <c r="N137">
        <f>IF($L137="At Risk",COUNTIF($L$2:$L137,"At Risk"),"")</f>
        <v/>
      </c>
    </row>
    <row r="138">
      <c r="M138">
        <f>IF($L138="Breached",COUNTIF($L$2:$L138,"Breached"),"")</f>
        <v/>
      </c>
      <c r="N138">
        <f>IF($L138="At Risk",COUNTIF($L$2:$L138,"At Risk"),"")</f>
        <v/>
      </c>
    </row>
    <row r="139">
      <c r="M139">
        <f>IF($L139="Breached",COUNTIF($L$2:$L139,"Breached"),"")</f>
        <v/>
      </c>
      <c r="N139">
        <f>IF($L139="At Risk",COUNTIF($L$2:$L139,"At Risk"),"")</f>
        <v/>
      </c>
    </row>
    <row r="140">
      <c r="M140">
        <f>IF($L140="Breached",COUNTIF($L$2:$L140,"Breached"),"")</f>
        <v/>
      </c>
      <c r="N140">
        <f>IF($L140="At Risk",COUNTIF($L$2:$L140,"At Risk"),"")</f>
        <v/>
      </c>
    </row>
    <row r="141">
      <c r="M141">
        <f>IF($L141="Breached",COUNTIF($L$2:$L141,"Breached"),"")</f>
        <v/>
      </c>
      <c r="N141">
        <f>IF($L141="At Risk",COUNTIF($L$2:$L141,"At Risk"),"")</f>
        <v/>
      </c>
    </row>
    <row r="142">
      <c r="M142">
        <f>IF($L142="Breached",COUNTIF($L$2:$L142,"Breached"),"")</f>
        <v/>
      </c>
      <c r="N142">
        <f>IF($L142="At Risk",COUNTIF($L$2:$L142,"At Risk"),"")</f>
        <v/>
      </c>
    </row>
    <row r="143">
      <c r="M143">
        <f>IF($L143="Breached",COUNTIF($L$2:$L143,"Breached"),"")</f>
        <v/>
      </c>
      <c r="N143">
        <f>IF($L143="At Risk",COUNTIF($L$2:$L143,"At Risk"),"")</f>
        <v/>
      </c>
    </row>
    <row r="144">
      <c r="M144">
        <f>IF($L144="Breached",COUNTIF($L$2:$L144,"Breached"),"")</f>
        <v/>
      </c>
      <c r="N144">
        <f>IF($L144="At Risk",COUNTIF($L$2:$L144,"At Risk"),"")</f>
        <v/>
      </c>
    </row>
    <row r="145">
      <c r="M145">
        <f>IF($L145="Breached",COUNTIF($L$2:$L145,"Breached"),"")</f>
        <v/>
      </c>
      <c r="N145">
        <f>IF($L145="At Risk",COUNTIF($L$2:$L145,"At Risk"),"")</f>
        <v/>
      </c>
    </row>
    <row r="146">
      <c r="M146">
        <f>IF($L146="Breached",COUNTIF($L$2:$L146,"Breached"),"")</f>
        <v/>
      </c>
      <c r="N146">
        <f>IF($L146="At Risk",COUNTIF($L$2:$L146,"At Risk"),"")</f>
        <v/>
      </c>
    </row>
    <row r="147">
      <c r="M147">
        <f>IF($L147="Breached",COUNTIF($L$2:$L147,"Breached"),"")</f>
        <v/>
      </c>
      <c r="N147">
        <f>IF($L147="At Risk",COUNTIF($L$2:$L147,"At Risk"),"")</f>
        <v/>
      </c>
    </row>
    <row r="148">
      <c r="M148">
        <f>IF($L148="Breached",COUNTIF($L$2:$L148,"Breached"),"")</f>
        <v/>
      </c>
      <c r="N148">
        <f>IF($L148="At Risk",COUNTIF($L$2:$L148,"At Risk"),"")</f>
        <v/>
      </c>
    </row>
    <row r="149">
      <c r="M149">
        <f>IF($L149="Breached",COUNTIF($L$2:$L149,"Breached"),"")</f>
        <v/>
      </c>
      <c r="N149">
        <f>IF($L149="At Risk",COUNTIF($L$2:$L149,"At Risk"),"")</f>
        <v/>
      </c>
    </row>
    <row r="150">
      <c r="M150">
        <f>IF($L150="Breached",COUNTIF($L$2:$L150,"Breached"),"")</f>
        <v/>
      </c>
      <c r="N150">
        <f>IF($L150="At Risk",COUNTIF($L$2:$L150,"At Risk"),"")</f>
        <v/>
      </c>
    </row>
    <row r="151">
      <c r="M151">
        <f>IF($L151="Breached",COUNTIF($L$2:$L151,"Breached"),"")</f>
        <v/>
      </c>
      <c r="N151">
        <f>IF($L151="At Risk",COUNTIF($L$2:$L151,"At Risk"),"")</f>
        <v/>
      </c>
    </row>
    <row r="152">
      <c r="M152">
        <f>IF($L152="Breached",COUNTIF($L$2:$L152,"Breached"),"")</f>
        <v/>
      </c>
      <c r="N152">
        <f>IF($L152="At Risk",COUNTIF($L$2:$L152,"At Risk"),"")</f>
        <v/>
      </c>
    </row>
    <row r="153">
      <c r="M153">
        <f>IF($L153="Breached",COUNTIF($L$2:$L153,"Breached"),"")</f>
        <v/>
      </c>
      <c r="N153">
        <f>IF($L153="At Risk",COUNTIF($L$2:$L153,"At Risk"),"")</f>
        <v/>
      </c>
    </row>
    <row r="154">
      <c r="M154">
        <f>IF($L154="Breached",COUNTIF($L$2:$L154,"Breached"),"")</f>
        <v/>
      </c>
      <c r="N154">
        <f>IF($L154="At Risk",COUNTIF($L$2:$L154,"At Risk"),"")</f>
        <v/>
      </c>
    </row>
    <row r="155">
      <c r="M155">
        <f>IF($L155="Breached",COUNTIF($L$2:$L155,"Breached"),"")</f>
        <v/>
      </c>
      <c r="N155">
        <f>IF($L155="At Risk",COUNTIF($L$2:$L155,"At Risk"),"")</f>
        <v/>
      </c>
    </row>
    <row r="156">
      <c r="M156">
        <f>IF($L156="Breached",COUNTIF($L$2:$L156,"Breached"),"")</f>
        <v/>
      </c>
      <c r="N156">
        <f>IF($L156="At Risk",COUNTIF($L$2:$L156,"At Risk"),"")</f>
        <v/>
      </c>
    </row>
    <row r="157">
      <c r="M157">
        <f>IF($L157="Breached",COUNTIF($L$2:$L157,"Breached"),"")</f>
        <v/>
      </c>
      <c r="N157">
        <f>IF($L157="At Risk",COUNTIF($L$2:$L157,"At Risk"),"")</f>
        <v/>
      </c>
    </row>
    <row r="158">
      <c r="M158">
        <f>IF($L158="Breached",COUNTIF($L$2:$L158,"Breached"),"")</f>
        <v/>
      </c>
      <c r="N158">
        <f>IF($L158="At Risk",COUNTIF($L$2:$L158,"At Risk"),"")</f>
        <v/>
      </c>
    </row>
    <row r="159">
      <c r="M159">
        <f>IF($L159="Breached",COUNTIF($L$2:$L159,"Breached"),"")</f>
        <v/>
      </c>
      <c r="N159">
        <f>IF($L159="At Risk",COUNTIF($L$2:$L159,"At Risk"),"")</f>
        <v/>
      </c>
    </row>
    <row r="160">
      <c r="M160">
        <f>IF($L160="Breached",COUNTIF($L$2:$L160,"Breached"),"")</f>
        <v/>
      </c>
      <c r="N160">
        <f>IF($L160="At Risk",COUNTIF($L$2:$L160,"At Risk"),"")</f>
        <v/>
      </c>
    </row>
    <row r="161">
      <c r="M161">
        <f>IF($L161="Breached",COUNTIF($L$2:$L161,"Breached"),"")</f>
        <v/>
      </c>
      <c r="N161">
        <f>IF($L161="At Risk",COUNTIF($L$2:$L161,"At Risk"),"")</f>
        <v/>
      </c>
    </row>
    <row r="162">
      <c r="M162">
        <f>IF($L162="Breached",COUNTIF($L$2:$L162,"Breached"),"")</f>
        <v/>
      </c>
      <c r="N162">
        <f>IF($L162="At Risk",COUNTIF($L$2:$L162,"At Risk"),"")</f>
        <v/>
      </c>
    </row>
    <row r="163">
      <c r="M163">
        <f>IF($L163="Breached",COUNTIF($L$2:$L163,"Breached"),"")</f>
        <v/>
      </c>
      <c r="N163">
        <f>IF($L163="At Risk",COUNTIF($L$2:$L163,"At Risk"),"")</f>
        <v/>
      </c>
    </row>
    <row r="164">
      <c r="M164">
        <f>IF($L164="Breached",COUNTIF($L$2:$L164,"Breached"),"")</f>
        <v/>
      </c>
      <c r="N164">
        <f>IF($L164="At Risk",COUNTIF($L$2:$L164,"At Risk"),"")</f>
        <v/>
      </c>
    </row>
    <row r="165">
      <c r="M165">
        <f>IF($L165="Breached",COUNTIF($L$2:$L165,"Breached"),"")</f>
        <v/>
      </c>
      <c r="N165">
        <f>IF($L165="At Risk",COUNTIF($L$2:$L165,"At Risk"),"")</f>
        <v/>
      </c>
    </row>
    <row r="166">
      <c r="M166">
        <f>IF($L166="Breached",COUNTIF($L$2:$L166,"Breached"),"")</f>
        <v/>
      </c>
      <c r="N166">
        <f>IF($L166="At Risk",COUNTIF($L$2:$L166,"At Risk"),"")</f>
        <v/>
      </c>
    </row>
    <row r="167">
      <c r="M167">
        <f>IF($L167="Breached",COUNTIF($L$2:$L167,"Breached"),"")</f>
        <v/>
      </c>
      <c r="N167">
        <f>IF($L167="At Risk",COUNTIF($L$2:$L167,"At Risk"),"")</f>
        <v/>
      </c>
    </row>
    <row r="168">
      <c r="M168">
        <f>IF($L168="Breached",COUNTIF($L$2:$L168,"Breached"),"")</f>
        <v/>
      </c>
      <c r="N168">
        <f>IF($L168="At Risk",COUNTIF($L$2:$L168,"At Risk"),"")</f>
        <v/>
      </c>
    </row>
    <row r="169">
      <c r="M169">
        <f>IF($L169="Breached",COUNTIF($L$2:$L169,"Breached"),"")</f>
        <v/>
      </c>
      <c r="N169">
        <f>IF($L169="At Risk",COUNTIF($L$2:$L169,"At Risk"),"")</f>
        <v/>
      </c>
    </row>
    <row r="170">
      <c r="M170">
        <f>IF($L170="Breached",COUNTIF($L$2:$L170,"Breached"),"")</f>
        <v/>
      </c>
      <c r="N170">
        <f>IF($L170="At Risk",COUNTIF($L$2:$L170,"At Risk"),"")</f>
        <v/>
      </c>
    </row>
    <row r="171">
      <c r="M171">
        <f>IF($L171="Breached",COUNTIF($L$2:$L171,"Breached"),"")</f>
        <v/>
      </c>
      <c r="N171">
        <f>IF($L171="At Risk",COUNTIF($L$2:$L171,"At Risk"),"")</f>
        <v/>
      </c>
    </row>
    <row r="172">
      <c r="M172">
        <f>IF($L172="Breached",COUNTIF($L$2:$L172,"Breached"),"")</f>
        <v/>
      </c>
      <c r="N172">
        <f>IF($L172="At Risk",COUNTIF($L$2:$L172,"At Risk"),"")</f>
        <v/>
      </c>
    </row>
    <row r="173">
      <c r="M173">
        <f>IF($L173="Breached",COUNTIF($L$2:$L173,"Breached"),"")</f>
        <v/>
      </c>
      <c r="N173">
        <f>IF($L173="At Risk",COUNTIF($L$2:$L173,"At Risk"),"")</f>
        <v/>
      </c>
    </row>
    <row r="174">
      <c r="M174">
        <f>IF($L174="Breached",COUNTIF($L$2:$L174,"Breached"),"")</f>
        <v/>
      </c>
      <c r="N174">
        <f>IF($L174="At Risk",COUNTIF($L$2:$L174,"At Risk"),"")</f>
        <v/>
      </c>
    </row>
    <row r="175">
      <c r="M175">
        <f>IF($L175="Breached",COUNTIF($L$2:$L175,"Breached"),"")</f>
        <v/>
      </c>
      <c r="N175">
        <f>IF($L175="At Risk",COUNTIF($L$2:$L175,"At Risk"),"")</f>
        <v/>
      </c>
    </row>
    <row r="176">
      <c r="M176">
        <f>IF($L176="Breached",COUNTIF($L$2:$L176,"Breached"),"")</f>
        <v/>
      </c>
      <c r="N176">
        <f>IF($L176="At Risk",COUNTIF($L$2:$L176,"At Risk"),"")</f>
        <v/>
      </c>
    </row>
    <row r="177">
      <c r="M177">
        <f>IF($L177="Breached",COUNTIF($L$2:$L177,"Breached"),"")</f>
        <v/>
      </c>
      <c r="N177">
        <f>IF($L177="At Risk",COUNTIF($L$2:$L177,"At Risk"),"")</f>
        <v/>
      </c>
    </row>
    <row r="178">
      <c r="M178">
        <f>IF($L178="Breached",COUNTIF($L$2:$L178,"Breached"),"")</f>
        <v/>
      </c>
      <c r="N178">
        <f>IF($L178="At Risk",COUNTIF($L$2:$L178,"At Risk"),"")</f>
        <v/>
      </c>
    </row>
    <row r="179">
      <c r="M179">
        <f>IF($L179="Breached",COUNTIF($L$2:$L179,"Breached"),"")</f>
        <v/>
      </c>
      <c r="N179">
        <f>IF($L179="At Risk",COUNTIF($L$2:$L179,"At Risk"),"")</f>
        <v/>
      </c>
    </row>
    <row r="180">
      <c r="M180">
        <f>IF($L180="Breached",COUNTIF($L$2:$L180,"Breached"),"")</f>
        <v/>
      </c>
      <c r="N180">
        <f>IF($L180="At Risk",COUNTIF($L$2:$L180,"At Risk"),"")</f>
        <v/>
      </c>
    </row>
    <row r="181">
      <c r="M181">
        <f>IF($L181="Breached",COUNTIF($L$2:$L181,"Breached"),"")</f>
        <v/>
      </c>
      <c r="N181">
        <f>IF($L181="At Risk",COUNTIF($L$2:$L181,"At Risk"),"")</f>
        <v/>
      </c>
    </row>
    <row r="182">
      <c r="M182">
        <f>IF($L182="Breached",COUNTIF($L$2:$L182,"Breached"),"")</f>
        <v/>
      </c>
      <c r="N182">
        <f>IF($L182="At Risk",COUNTIF($L$2:$L182,"At Risk"),"")</f>
        <v/>
      </c>
    </row>
    <row r="183">
      <c r="M183">
        <f>IF($L183="Breached",COUNTIF($L$2:$L183,"Breached"),"")</f>
        <v/>
      </c>
      <c r="N183">
        <f>IF($L183="At Risk",COUNTIF($L$2:$L183,"At Risk"),"")</f>
        <v/>
      </c>
    </row>
    <row r="184">
      <c r="M184">
        <f>IF($L184="Breached",COUNTIF($L$2:$L184,"Breached"),"")</f>
        <v/>
      </c>
      <c r="N184">
        <f>IF($L184="At Risk",COUNTIF($L$2:$L184,"At Risk"),"")</f>
        <v/>
      </c>
    </row>
    <row r="185">
      <c r="M185">
        <f>IF($L185="Breached",COUNTIF($L$2:$L185,"Breached"),"")</f>
        <v/>
      </c>
      <c r="N185">
        <f>IF($L185="At Risk",COUNTIF($L$2:$L185,"At Risk"),"")</f>
        <v/>
      </c>
    </row>
    <row r="186">
      <c r="M186">
        <f>IF($L186="Breached",COUNTIF($L$2:$L186,"Breached"),"")</f>
        <v/>
      </c>
      <c r="N186">
        <f>IF($L186="At Risk",COUNTIF($L$2:$L186,"At Risk"),"")</f>
        <v/>
      </c>
    </row>
    <row r="187">
      <c r="M187">
        <f>IF($L187="Breached",COUNTIF($L$2:$L187,"Breached"),"")</f>
        <v/>
      </c>
      <c r="N187">
        <f>IF($L187="At Risk",COUNTIF($L$2:$L187,"At Risk"),"")</f>
        <v/>
      </c>
    </row>
    <row r="188">
      <c r="M188">
        <f>IF($L188="Breached",COUNTIF($L$2:$L188,"Breached"),"")</f>
        <v/>
      </c>
      <c r="N188">
        <f>IF($L188="At Risk",COUNTIF($L$2:$L188,"At Risk"),"")</f>
        <v/>
      </c>
    </row>
    <row r="189">
      <c r="M189">
        <f>IF($L189="Breached",COUNTIF($L$2:$L189,"Breached"),"")</f>
        <v/>
      </c>
      <c r="N189">
        <f>IF($L189="At Risk",COUNTIF($L$2:$L189,"At Risk"),"")</f>
        <v/>
      </c>
    </row>
    <row r="190">
      <c r="M190">
        <f>IF($L190="Breached",COUNTIF($L$2:$L190,"Breached"),"")</f>
        <v/>
      </c>
      <c r="N190">
        <f>IF($L190="At Risk",COUNTIF($L$2:$L190,"At Risk"),"")</f>
        <v/>
      </c>
    </row>
    <row r="191">
      <c r="M191">
        <f>IF($L191="Breached",COUNTIF($L$2:$L191,"Breached"),"")</f>
        <v/>
      </c>
      <c r="N191">
        <f>IF($L191="At Risk",COUNTIF($L$2:$L191,"At Risk"),"")</f>
        <v/>
      </c>
    </row>
    <row r="192">
      <c r="M192">
        <f>IF($L192="Breached",COUNTIF($L$2:$L192,"Breached"),"")</f>
        <v/>
      </c>
      <c r="N192">
        <f>IF($L192="At Risk",COUNTIF($L$2:$L192,"At Risk"),"")</f>
        <v/>
      </c>
    </row>
    <row r="193">
      <c r="M193">
        <f>IF($L193="Breached",COUNTIF($L$2:$L193,"Breached"),"")</f>
        <v/>
      </c>
      <c r="N193">
        <f>IF($L193="At Risk",COUNTIF($L$2:$L193,"At Risk"),"")</f>
        <v/>
      </c>
    </row>
    <row r="194">
      <c r="M194">
        <f>IF($L194="Breached",COUNTIF($L$2:$L194,"Breached"),"")</f>
        <v/>
      </c>
      <c r="N194">
        <f>IF($L194="At Risk",COUNTIF($L$2:$L194,"At Risk"),"")</f>
        <v/>
      </c>
    </row>
    <row r="195">
      <c r="M195">
        <f>IF($L195="Breached",COUNTIF($L$2:$L195,"Breached"),"")</f>
        <v/>
      </c>
      <c r="N195">
        <f>IF($L195="At Risk",COUNTIF($L$2:$L195,"At Risk"),"")</f>
        <v/>
      </c>
    </row>
    <row r="196">
      <c r="M196">
        <f>IF($L196="Breached",COUNTIF($L$2:$L196,"Breached"),"")</f>
        <v/>
      </c>
      <c r="N196">
        <f>IF($L196="At Risk",COUNTIF($L$2:$L196,"At Risk"),"")</f>
        <v/>
      </c>
    </row>
    <row r="197">
      <c r="M197">
        <f>IF($L197="Breached",COUNTIF($L$2:$L197,"Breached"),"")</f>
        <v/>
      </c>
      <c r="N197">
        <f>IF($L197="At Risk",COUNTIF($L$2:$L197,"At Risk"),"")</f>
        <v/>
      </c>
    </row>
    <row r="198">
      <c r="M198">
        <f>IF($L198="Breached",COUNTIF($L$2:$L198,"Breached"),"")</f>
        <v/>
      </c>
      <c r="N198">
        <f>IF($L198="At Risk",COUNTIF($L$2:$L198,"At Risk"),"")</f>
        <v/>
      </c>
    </row>
    <row r="199">
      <c r="M199">
        <f>IF($L199="Breached",COUNTIF($L$2:$L199,"Breached"),"")</f>
        <v/>
      </c>
      <c r="N199">
        <f>IF($L199="At Risk",COUNTIF($L$2:$L199,"At Risk"),"")</f>
        <v/>
      </c>
    </row>
    <row r="200">
      <c r="M200">
        <f>IF($L200="Breached",COUNTIF($L$2:$L200,"Breached"),"")</f>
        <v/>
      </c>
      <c r="N200">
        <f>IF($L200="At Risk",COUNTIF($L$2:$L200,"At Risk"),"")</f>
        <v/>
      </c>
    </row>
    <row r="201">
      <c r="M201">
        <f>IF($L201="Breached",COUNTIF($L$2:$L201,"Breached"),"")</f>
        <v/>
      </c>
      <c r="N201">
        <f>IF($L201="At Risk",COUNTIF($L$2:$L201,"At Risk"),"")</f>
        <v/>
      </c>
    </row>
    <row r="202">
      <c r="M202">
        <f>IF($L202="Breached",COUNTIF($L$2:$L202,"Breached"),"")</f>
        <v/>
      </c>
      <c r="N202">
        <f>IF($L202="At Risk",COUNTIF($L$2:$L202,"At Risk"),"")</f>
        <v/>
      </c>
    </row>
    <row r="203">
      <c r="M203">
        <f>IF($L203="Breached",COUNTIF($L$2:$L203,"Breached"),"")</f>
        <v/>
      </c>
      <c r="N203">
        <f>IF($L203="At Risk",COUNTIF($L$2:$L203,"At Risk"),"")</f>
        <v/>
      </c>
    </row>
    <row r="204">
      <c r="M204">
        <f>IF($L204="Breached",COUNTIF($L$2:$L204,"Breached"),"")</f>
        <v/>
      </c>
      <c r="N204">
        <f>IF($L204="At Risk",COUNTIF($L$2:$L204,"At Risk"),"")</f>
        <v/>
      </c>
    </row>
    <row r="205">
      <c r="M205">
        <f>IF($L205="Breached",COUNTIF($L$2:$L205,"Breached"),"")</f>
        <v/>
      </c>
      <c r="N205">
        <f>IF($L205="At Risk",COUNTIF($L$2:$L205,"At Risk"),"")</f>
        <v/>
      </c>
    </row>
    <row r="206">
      <c r="M206">
        <f>IF($L206="Breached",COUNTIF($L$2:$L206,"Breached"),"")</f>
        <v/>
      </c>
      <c r="N206">
        <f>IF($L206="At Risk",COUNTIF($L$2:$L206,"At Risk"),"")</f>
        <v/>
      </c>
    </row>
    <row r="207">
      <c r="M207">
        <f>IF($L207="Breached",COUNTIF($L$2:$L207,"Breached"),"")</f>
        <v/>
      </c>
      <c r="N207">
        <f>IF($L207="At Risk",COUNTIF($L$2:$L207,"At Risk"),"")</f>
        <v/>
      </c>
    </row>
    <row r="208">
      <c r="M208">
        <f>IF($L208="Breached",COUNTIF($L$2:$L208,"Breached"),"")</f>
        <v/>
      </c>
      <c r="N208">
        <f>IF($L208="At Risk",COUNTIF($L$2:$L208,"At Risk"),"")</f>
        <v/>
      </c>
    </row>
    <row r="209">
      <c r="M209">
        <f>IF($L209="Breached",COUNTIF($L$2:$L209,"Breached"),"")</f>
        <v/>
      </c>
      <c r="N209">
        <f>IF($L209="At Risk",COUNTIF($L$2:$L209,"At Risk"),"")</f>
        <v/>
      </c>
    </row>
    <row r="210">
      <c r="M210">
        <f>IF($L210="Breached",COUNTIF($L$2:$L210,"Breached"),"")</f>
        <v/>
      </c>
      <c r="N210">
        <f>IF($L210="At Risk",COUNTIF($L$2:$L210,"At Risk"),"")</f>
        <v/>
      </c>
    </row>
    <row r="211">
      <c r="M211">
        <f>IF($L211="Breached",COUNTIF($L$2:$L211,"Breached"),"")</f>
        <v/>
      </c>
      <c r="N211">
        <f>IF($L211="At Risk",COUNTIF($L$2:$L211,"At Risk"),"")</f>
        <v/>
      </c>
    </row>
    <row r="212">
      <c r="M212">
        <f>IF($L212="Breached",COUNTIF($L$2:$L212,"Breached"),"")</f>
        <v/>
      </c>
      <c r="N212">
        <f>IF($L212="At Risk",COUNTIF($L$2:$L212,"At Risk"),"")</f>
        <v/>
      </c>
    </row>
    <row r="213">
      <c r="M213">
        <f>IF($L213="Breached",COUNTIF($L$2:$L213,"Breached"),"")</f>
        <v/>
      </c>
      <c r="N213">
        <f>IF($L213="At Risk",COUNTIF($L$2:$L213,"At Risk"),"")</f>
        <v/>
      </c>
    </row>
    <row r="214">
      <c r="M214">
        <f>IF($L214="Breached",COUNTIF($L$2:$L214,"Breached"),"")</f>
        <v/>
      </c>
      <c r="N214">
        <f>IF($L214="At Risk",COUNTIF($L$2:$L214,"At Risk"),"")</f>
        <v/>
      </c>
    </row>
    <row r="215">
      <c r="M215">
        <f>IF($L215="Breached",COUNTIF($L$2:$L215,"Breached"),"")</f>
        <v/>
      </c>
      <c r="N215">
        <f>IF($L215="At Risk",COUNTIF($L$2:$L215,"At Risk"),"")</f>
        <v/>
      </c>
    </row>
    <row r="216">
      <c r="M216">
        <f>IF($L216="Breached",COUNTIF($L$2:$L216,"Breached"),"")</f>
        <v/>
      </c>
      <c r="N216">
        <f>IF($L216="At Risk",COUNTIF($L$2:$L216,"At Risk"),"")</f>
        <v/>
      </c>
    </row>
    <row r="217">
      <c r="M217">
        <f>IF($L217="Breached",COUNTIF($L$2:$L217,"Breached"),"")</f>
        <v/>
      </c>
      <c r="N217">
        <f>IF($L217="At Risk",COUNTIF($L$2:$L217,"At Risk"),"")</f>
        <v/>
      </c>
    </row>
    <row r="218">
      <c r="M218">
        <f>IF($L218="Breached",COUNTIF($L$2:$L218,"Breached"),"")</f>
        <v/>
      </c>
      <c r="N218">
        <f>IF($L218="At Risk",COUNTIF($L$2:$L218,"At Risk"),"")</f>
        <v/>
      </c>
    </row>
    <row r="219">
      <c r="M219">
        <f>IF($L219="Breached",COUNTIF($L$2:$L219,"Breached"),"")</f>
        <v/>
      </c>
      <c r="N219">
        <f>IF($L219="At Risk",COUNTIF($L$2:$L219,"At Risk"),"")</f>
        <v/>
      </c>
    </row>
    <row r="220">
      <c r="M220">
        <f>IF($L220="Breached",COUNTIF($L$2:$L220,"Breached"),"")</f>
        <v/>
      </c>
      <c r="N220">
        <f>IF($L220="At Risk",COUNTIF($L$2:$L220,"At Risk"),"")</f>
        <v/>
      </c>
    </row>
    <row r="221">
      <c r="M221">
        <f>IF($L221="Breached",COUNTIF($L$2:$L221,"Breached"),"")</f>
        <v/>
      </c>
      <c r="N221">
        <f>IF($L221="At Risk",COUNTIF($L$2:$L221,"At Risk"),"")</f>
        <v/>
      </c>
    </row>
    <row r="222">
      <c r="M222">
        <f>IF($L222="Breached",COUNTIF($L$2:$L222,"Breached"),"")</f>
        <v/>
      </c>
      <c r="N222">
        <f>IF($L222="At Risk",COUNTIF($L$2:$L222,"At Risk"),"")</f>
        <v/>
      </c>
    </row>
    <row r="223">
      <c r="M223">
        <f>IF($L223="Breached",COUNTIF($L$2:$L223,"Breached"),"")</f>
        <v/>
      </c>
      <c r="N223">
        <f>IF($L223="At Risk",COUNTIF($L$2:$L223,"At Risk"),"")</f>
        <v/>
      </c>
    </row>
    <row r="224">
      <c r="M224">
        <f>IF($L224="Breached",COUNTIF($L$2:$L224,"Breached"),"")</f>
        <v/>
      </c>
      <c r="N224">
        <f>IF($L224="At Risk",COUNTIF($L$2:$L224,"At Risk"),"")</f>
        <v/>
      </c>
    </row>
    <row r="225">
      <c r="M225">
        <f>IF($L225="Breached",COUNTIF($L$2:$L225,"Breached"),"")</f>
        <v/>
      </c>
      <c r="N225">
        <f>IF($L225="At Risk",COUNTIF($L$2:$L225,"At Risk"),"")</f>
        <v/>
      </c>
    </row>
    <row r="226">
      <c r="M226">
        <f>IF($L226="Breached",COUNTIF($L$2:$L226,"Breached"),"")</f>
        <v/>
      </c>
      <c r="N226">
        <f>IF($L226="At Risk",COUNTIF($L$2:$L226,"At Risk"),"")</f>
        <v/>
      </c>
    </row>
    <row r="227">
      <c r="M227">
        <f>IF($L227="Breached",COUNTIF($L$2:$L227,"Breached"),"")</f>
        <v/>
      </c>
      <c r="N227">
        <f>IF($L227="At Risk",COUNTIF($L$2:$L227,"At Risk"),"")</f>
        <v/>
      </c>
    </row>
    <row r="228">
      <c r="M228">
        <f>IF($L228="Breached",COUNTIF($L$2:$L228,"Breached"),"")</f>
        <v/>
      </c>
      <c r="N228">
        <f>IF($L228="At Risk",COUNTIF($L$2:$L228,"At Risk"),"")</f>
        <v/>
      </c>
    </row>
    <row r="229">
      <c r="M229">
        <f>IF($L229="Breached",COUNTIF($L$2:$L229,"Breached"),"")</f>
        <v/>
      </c>
      <c r="N229">
        <f>IF($L229="At Risk",COUNTIF($L$2:$L229,"At Risk"),"")</f>
        <v/>
      </c>
    </row>
    <row r="230">
      <c r="M230">
        <f>IF($L230="Breached",COUNTIF($L$2:$L230,"Breached"),"")</f>
        <v/>
      </c>
      <c r="N230">
        <f>IF($L230="At Risk",COUNTIF($L$2:$L230,"At Risk"),"")</f>
        <v/>
      </c>
    </row>
    <row r="231">
      <c r="M231">
        <f>IF($L231="Breached",COUNTIF($L$2:$L231,"Breached"),"")</f>
        <v/>
      </c>
      <c r="N231">
        <f>IF($L231="At Risk",COUNTIF($L$2:$L231,"At Risk"),"")</f>
        <v/>
      </c>
    </row>
    <row r="232">
      <c r="M232">
        <f>IF($L232="Breached",COUNTIF($L$2:$L232,"Breached"),"")</f>
        <v/>
      </c>
      <c r="N232">
        <f>IF($L232="At Risk",COUNTIF($L$2:$L232,"At Risk"),"")</f>
        <v/>
      </c>
    </row>
    <row r="233">
      <c r="M233">
        <f>IF($L233="Breached",COUNTIF($L$2:$L233,"Breached"),"")</f>
        <v/>
      </c>
      <c r="N233">
        <f>IF($L233="At Risk",COUNTIF($L$2:$L233,"At Risk"),"")</f>
        <v/>
      </c>
    </row>
    <row r="234">
      <c r="M234">
        <f>IF($L234="Breached",COUNTIF($L$2:$L234,"Breached"),"")</f>
        <v/>
      </c>
      <c r="N234">
        <f>IF($L234="At Risk",COUNTIF($L$2:$L234,"At Risk"),"")</f>
        <v/>
      </c>
    </row>
    <row r="235">
      <c r="M235">
        <f>IF($L235="Breached",COUNTIF($L$2:$L235,"Breached"),"")</f>
        <v/>
      </c>
      <c r="N235">
        <f>IF($L235="At Risk",COUNTIF($L$2:$L235,"At Risk"),"")</f>
        <v/>
      </c>
    </row>
    <row r="236">
      <c r="M236">
        <f>IF($L236="Breached",COUNTIF($L$2:$L236,"Breached"),"")</f>
        <v/>
      </c>
      <c r="N236">
        <f>IF($L236="At Risk",COUNTIF($L$2:$L236,"At Risk"),"")</f>
        <v/>
      </c>
    </row>
    <row r="237">
      <c r="M237">
        <f>IF($L237="Breached",COUNTIF($L$2:$L237,"Breached"),"")</f>
        <v/>
      </c>
      <c r="N237">
        <f>IF($L237="At Risk",COUNTIF($L$2:$L237,"At Risk"),"")</f>
        <v/>
      </c>
    </row>
    <row r="238">
      <c r="M238">
        <f>IF($L238="Breached",COUNTIF($L$2:$L238,"Breached"),"")</f>
        <v/>
      </c>
      <c r="N238">
        <f>IF($L238="At Risk",COUNTIF($L$2:$L238,"At Risk"),"")</f>
        <v/>
      </c>
    </row>
    <row r="239">
      <c r="M239">
        <f>IF($L239="Breached",COUNTIF($L$2:$L239,"Breached"),"")</f>
        <v/>
      </c>
      <c r="N239">
        <f>IF($L239="At Risk",COUNTIF($L$2:$L239,"At Risk"),"")</f>
        <v/>
      </c>
    </row>
    <row r="240">
      <c r="M240">
        <f>IF($L240="Breached",COUNTIF($L$2:$L240,"Breached"),"")</f>
        <v/>
      </c>
      <c r="N240">
        <f>IF($L240="At Risk",COUNTIF($L$2:$L240,"At Risk"),"")</f>
        <v/>
      </c>
    </row>
    <row r="241">
      <c r="M241">
        <f>IF($L241="Breached",COUNTIF($L$2:$L241,"Breached"),"")</f>
        <v/>
      </c>
      <c r="N241">
        <f>IF($L241="At Risk",COUNTIF($L$2:$L241,"At Risk"),"")</f>
        <v/>
      </c>
    </row>
    <row r="242">
      <c r="M242">
        <f>IF($L242="Breached",COUNTIF($L$2:$L242,"Breached"),"")</f>
        <v/>
      </c>
      <c r="N242">
        <f>IF($L242="At Risk",COUNTIF($L$2:$L242,"At Risk"),"")</f>
        <v/>
      </c>
    </row>
    <row r="243">
      <c r="M243">
        <f>IF($L243="Breached",COUNTIF($L$2:$L243,"Breached"),"")</f>
        <v/>
      </c>
      <c r="N243">
        <f>IF($L243="At Risk",COUNTIF($L$2:$L243,"At Risk"),"")</f>
        <v/>
      </c>
    </row>
    <row r="244">
      <c r="M244">
        <f>IF($L244="Breached",COUNTIF($L$2:$L244,"Breached"),"")</f>
        <v/>
      </c>
      <c r="N244">
        <f>IF($L244="At Risk",COUNTIF($L$2:$L244,"At Risk"),"")</f>
        <v/>
      </c>
    </row>
    <row r="245">
      <c r="M245">
        <f>IF($L245="Breached",COUNTIF($L$2:$L245,"Breached"),"")</f>
        <v/>
      </c>
      <c r="N245">
        <f>IF($L245="At Risk",COUNTIF($L$2:$L245,"At Risk"),"")</f>
        <v/>
      </c>
    </row>
    <row r="246">
      <c r="M246">
        <f>IF($L246="Breached",COUNTIF($L$2:$L246,"Breached"),"")</f>
        <v/>
      </c>
      <c r="N246">
        <f>IF($L246="At Risk",COUNTIF($L$2:$L246,"At Risk"),"")</f>
        <v/>
      </c>
    </row>
    <row r="247">
      <c r="M247">
        <f>IF($L247="Breached",COUNTIF($L$2:$L247,"Breached"),"")</f>
        <v/>
      </c>
      <c r="N247">
        <f>IF($L247="At Risk",COUNTIF($L$2:$L247,"At Risk"),"")</f>
        <v/>
      </c>
    </row>
    <row r="248">
      <c r="M248">
        <f>IF($L248="Breached",COUNTIF($L$2:$L248,"Breached"),"")</f>
        <v/>
      </c>
      <c r="N248">
        <f>IF($L248="At Risk",COUNTIF($L$2:$L248,"At Risk"),"")</f>
        <v/>
      </c>
    </row>
    <row r="249">
      <c r="M249">
        <f>IF($L249="Breached",COUNTIF($L$2:$L249,"Breached"),"")</f>
        <v/>
      </c>
      <c r="N249">
        <f>IF($L249="At Risk",COUNTIF($L$2:$L249,"At Risk"),"")</f>
        <v/>
      </c>
    </row>
    <row r="250">
      <c r="M250">
        <f>IF($L250="Breached",COUNTIF($L$2:$L250,"Breached"),"")</f>
        <v/>
      </c>
      <c r="N250">
        <f>IF($L250="At Risk",COUNTIF($L$2:$L250,"At Risk"),"")</f>
        <v/>
      </c>
    </row>
    <row r="251">
      <c r="M251">
        <f>IF($L251="Breached",COUNTIF($L$2:$L251,"Breached"),"")</f>
        <v/>
      </c>
      <c r="N251">
        <f>IF($L251="At Risk",COUNTIF($L$2:$L251,"At Risk"),"")</f>
        <v/>
      </c>
    </row>
    <row r="252">
      <c r="M252">
        <f>IF($L252="Breached",COUNTIF($L$2:$L252,"Breached"),"")</f>
        <v/>
      </c>
      <c r="N252">
        <f>IF($L252="At Risk",COUNTIF($L$2:$L252,"At Risk"),"")</f>
        <v/>
      </c>
    </row>
    <row r="253">
      <c r="M253">
        <f>IF($L253="Breached",COUNTIF($L$2:$L253,"Breached"),"")</f>
        <v/>
      </c>
      <c r="N253">
        <f>IF($L253="At Risk",COUNTIF($L$2:$L253,"At Risk"),"")</f>
        <v/>
      </c>
    </row>
    <row r="254">
      <c r="M254">
        <f>IF($L254="Breached",COUNTIF($L$2:$L254,"Breached"),"")</f>
        <v/>
      </c>
      <c r="N254">
        <f>IF($L254="At Risk",COUNTIF($L$2:$L254,"At Risk"),"")</f>
        <v/>
      </c>
    </row>
    <row r="255">
      <c r="M255">
        <f>IF($L255="Breached",COUNTIF($L$2:$L255,"Breached"),"")</f>
        <v/>
      </c>
      <c r="N255">
        <f>IF($L255="At Risk",COUNTIF($L$2:$L255,"At Risk"),"")</f>
        <v/>
      </c>
    </row>
    <row r="256">
      <c r="M256">
        <f>IF($L256="Breached",COUNTIF($L$2:$L256,"Breached"),"")</f>
        <v/>
      </c>
      <c r="N256">
        <f>IF($L256="At Risk",COUNTIF($L$2:$L256,"At Risk"),"")</f>
        <v/>
      </c>
    </row>
    <row r="257">
      <c r="M257">
        <f>IF($L257="Breached",COUNTIF($L$2:$L257,"Breached"),"")</f>
        <v/>
      </c>
      <c r="N257">
        <f>IF($L257="At Risk",COUNTIF($L$2:$L257,"At Risk"),"")</f>
        <v/>
      </c>
    </row>
    <row r="258">
      <c r="M258">
        <f>IF($L258="Breached",COUNTIF($L$2:$L258,"Breached"),"")</f>
        <v/>
      </c>
      <c r="N258">
        <f>IF($L258="At Risk",COUNTIF($L$2:$L258,"At Risk"),"")</f>
        <v/>
      </c>
    </row>
    <row r="259">
      <c r="M259">
        <f>IF($L259="Breached",COUNTIF($L$2:$L259,"Breached"),"")</f>
        <v/>
      </c>
      <c r="N259">
        <f>IF($L259="At Risk",COUNTIF($L$2:$L259,"At Risk"),"")</f>
        <v/>
      </c>
    </row>
    <row r="260">
      <c r="M260">
        <f>IF($L260="Breached",COUNTIF($L$2:$L260,"Breached"),"")</f>
        <v/>
      </c>
      <c r="N260">
        <f>IF($L260="At Risk",COUNTIF($L$2:$L260,"At Risk"),"")</f>
        <v/>
      </c>
    </row>
    <row r="261">
      <c r="M261">
        <f>IF($L261="Breached",COUNTIF($L$2:$L261,"Breached"),"")</f>
        <v/>
      </c>
      <c r="N261">
        <f>IF($L261="At Risk",COUNTIF($L$2:$L261,"At Risk"),"")</f>
        <v/>
      </c>
    </row>
    <row r="262">
      <c r="M262">
        <f>IF($L262="Breached",COUNTIF($L$2:$L262,"Breached"),"")</f>
        <v/>
      </c>
      <c r="N262">
        <f>IF($L262="At Risk",COUNTIF($L$2:$L262,"At Risk"),"")</f>
        <v/>
      </c>
    </row>
    <row r="263">
      <c r="M263">
        <f>IF($L263="Breached",COUNTIF($L$2:$L263,"Breached"),"")</f>
        <v/>
      </c>
      <c r="N263">
        <f>IF($L263="At Risk",COUNTIF($L$2:$L263,"At Risk"),"")</f>
        <v/>
      </c>
    </row>
    <row r="264">
      <c r="M264">
        <f>IF($L264="Breached",COUNTIF($L$2:$L264,"Breached"),"")</f>
        <v/>
      </c>
      <c r="N264">
        <f>IF($L264="At Risk",COUNTIF($L$2:$L264,"At Risk"),"")</f>
        <v/>
      </c>
    </row>
    <row r="265">
      <c r="M265">
        <f>IF($L265="Breached",COUNTIF($L$2:$L265,"Breached"),"")</f>
        <v/>
      </c>
      <c r="N265">
        <f>IF($L265="At Risk",COUNTIF($L$2:$L265,"At Risk"),"")</f>
        <v/>
      </c>
    </row>
    <row r="266">
      <c r="M266">
        <f>IF($L266="Breached",COUNTIF($L$2:$L266,"Breached"),"")</f>
        <v/>
      </c>
      <c r="N266">
        <f>IF($L266="At Risk",COUNTIF($L$2:$L266,"At Risk"),"")</f>
        <v/>
      </c>
    </row>
    <row r="267">
      <c r="M267">
        <f>IF($L267="Breached",COUNTIF($L$2:$L267,"Breached"),"")</f>
        <v/>
      </c>
      <c r="N267">
        <f>IF($L267="At Risk",COUNTIF($L$2:$L267,"At Risk"),"")</f>
        <v/>
      </c>
    </row>
    <row r="268">
      <c r="M268">
        <f>IF($L268="Breached",COUNTIF($L$2:$L268,"Breached"),"")</f>
        <v/>
      </c>
      <c r="N268">
        <f>IF($L268="At Risk",COUNTIF($L$2:$L268,"At Risk"),"")</f>
        <v/>
      </c>
    </row>
    <row r="269">
      <c r="M269">
        <f>IF($L269="Breached",COUNTIF($L$2:$L269,"Breached"),"")</f>
        <v/>
      </c>
      <c r="N269">
        <f>IF($L269="At Risk",COUNTIF($L$2:$L269,"At Risk"),"")</f>
        <v/>
      </c>
    </row>
    <row r="270">
      <c r="M270">
        <f>IF($L270="Breached",COUNTIF($L$2:$L270,"Breached"),"")</f>
        <v/>
      </c>
      <c r="N270">
        <f>IF($L270="At Risk",COUNTIF($L$2:$L270,"At Risk"),"")</f>
        <v/>
      </c>
    </row>
    <row r="271">
      <c r="M271">
        <f>IF($L271="Breached",COUNTIF($L$2:$L271,"Breached"),"")</f>
        <v/>
      </c>
      <c r="N271">
        <f>IF($L271="At Risk",COUNTIF($L$2:$L271,"At Risk"),"")</f>
        <v/>
      </c>
    </row>
    <row r="272">
      <c r="M272">
        <f>IF($L272="Breached",COUNTIF($L$2:$L272,"Breached"),"")</f>
        <v/>
      </c>
      <c r="N272">
        <f>IF($L272="At Risk",COUNTIF($L$2:$L272,"At Risk"),"")</f>
        <v/>
      </c>
    </row>
    <row r="273">
      <c r="M273">
        <f>IF($L273="Breached",COUNTIF($L$2:$L273,"Breached"),"")</f>
        <v/>
      </c>
      <c r="N273">
        <f>IF($L273="At Risk",COUNTIF($L$2:$L273,"At Risk"),"")</f>
        <v/>
      </c>
    </row>
    <row r="274">
      <c r="M274">
        <f>IF($L274="Breached",COUNTIF($L$2:$L274,"Breached"),"")</f>
        <v/>
      </c>
      <c r="N274">
        <f>IF($L274="At Risk",COUNTIF($L$2:$L274,"At Risk"),"")</f>
        <v/>
      </c>
    </row>
    <row r="275">
      <c r="M275">
        <f>IF($L275="Breached",COUNTIF($L$2:$L275,"Breached"),"")</f>
        <v/>
      </c>
      <c r="N275">
        <f>IF($L275="At Risk",COUNTIF($L$2:$L275,"At Risk"),"")</f>
        <v/>
      </c>
    </row>
    <row r="276">
      <c r="M276">
        <f>IF($L276="Breached",COUNTIF($L$2:$L276,"Breached"),"")</f>
        <v/>
      </c>
      <c r="N276">
        <f>IF($L276="At Risk",COUNTIF($L$2:$L276,"At Risk"),"")</f>
        <v/>
      </c>
    </row>
    <row r="277">
      <c r="M277">
        <f>IF($L277="Breached",COUNTIF($L$2:$L277,"Breached"),"")</f>
        <v/>
      </c>
      <c r="N277">
        <f>IF($L277="At Risk",COUNTIF($L$2:$L277,"At Risk"),"")</f>
        <v/>
      </c>
    </row>
    <row r="278">
      <c r="M278">
        <f>IF($L278="Breached",COUNTIF($L$2:$L278,"Breached"),"")</f>
        <v/>
      </c>
      <c r="N278">
        <f>IF($L278="At Risk",COUNTIF($L$2:$L278,"At Risk"),"")</f>
        <v/>
      </c>
    </row>
    <row r="279">
      <c r="M279">
        <f>IF($L279="Breached",COUNTIF($L$2:$L279,"Breached"),"")</f>
        <v/>
      </c>
      <c r="N279">
        <f>IF($L279="At Risk",COUNTIF($L$2:$L279,"At Risk"),"")</f>
        <v/>
      </c>
    </row>
    <row r="280">
      <c r="M280">
        <f>IF($L280="Breached",COUNTIF($L$2:$L280,"Breached"),"")</f>
        <v/>
      </c>
      <c r="N280">
        <f>IF($L280="At Risk",COUNTIF($L$2:$L280,"At Risk"),"")</f>
        <v/>
      </c>
    </row>
    <row r="281">
      <c r="M281">
        <f>IF($L281="Breached",COUNTIF($L$2:$L281,"Breached"),"")</f>
        <v/>
      </c>
      <c r="N281">
        <f>IF($L281="At Risk",COUNTIF($L$2:$L281,"At Risk"),"")</f>
        <v/>
      </c>
    </row>
    <row r="282">
      <c r="M282">
        <f>IF($L282="Breached",COUNTIF($L$2:$L282,"Breached"),"")</f>
        <v/>
      </c>
      <c r="N282">
        <f>IF($L282="At Risk",COUNTIF($L$2:$L282,"At Risk"),"")</f>
        <v/>
      </c>
    </row>
    <row r="283">
      <c r="M283">
        <f>IF($L283="Breached",COUNTIF($L$2:$L283,"Breached"),"")</f>
        <v/>
      </c>
      <c r="N283">
        <f>IF($L283="At Risk",COUNTIF($L$2:$L283,"At Risk"),"")</f>
        <v/>
      </c>
    </row>
    <row r="284">
      <c r="M284">
        <f>IF($L284="Breached",COUNTIF($L$2:$L284,"Breached"),"")</f>
        <v/>
      </c>
      <c r="N284">
        <f>IF($L284="At Risk",COUNTIF($L$2:$L284,"At Risk"),"")</f>
        <v/>
      </c>
    </row>
    <row r="285">
      <c r="M285">
        <f>IF($L285="Breached",COUNTIF($L$2:$L285,"Breached"),"")</f>
        <v/>
      </c>
      <c r="N285">
        <f>IF($L285="At Risk",COUNTIF($L$2:$L285,"At Risk"),"")</f>
        <v/>
      </c>
    </row>
    <row r="286">
      <c r="M286">
        <f>IF($L286="Breached",COUNTIF($L$2:$L286,"Breached"),"")</f>
        <v/>
      </c>
      <c r="N286">
        <f>IF($L286="At Risk",COUNTIF($L$2:$L286,"At Risk"),"")</f>
        <v/>
      </c>
    </row>
    <row r="287">
      <c r="M287">
        <f>IF($L287="Breached",COUNTIF($L$2:$L287,"Breached"),"")</f>
        <v/>
      </c>
      <c r="N287">
        <f>IF($L287="At Risk",COUNTIF($L$2:$L287,"At Risk"),"")</f>
        <v/>
      </c>
    </row>
    <row r="288">
      <c r="M288">
        <f>IF($L288="Breached",COUNTIF($L$2:$L288,"Breached"),"")</f>
        <v/>
      </c>
      <c r="N288">
        <f>IF($L288="At Risk",COUNTIF($L$2:$L288,"At Risk"),"")</f>
        <v/>
      </c>
    </row>
    <row r="289">
      <c r="M289">
        <f>IF($L289="Breached",COUNTIF($L$2:$L289,"Breached"),"")</f>
        <v/>
      </c>
      <c r="N289">
        <f>IF($L289="At Risk",COUNTIF($L$2:$L289,"At Risk"),"")</f>
        <v/>
      </c>
    </row>
    <row r="290">
      <c r="M290">
        <f>IF($L290="Breached",COUNTIF($L$2:$L290,"Breached"),"")</f>
        <v/>
      </c>
      <c r="N290">
        <f>IF($L290="At Risk",COUNTIF($L$2:$L290,"At Risk"),"")</f>
        <v/>
      </c>
    </row>
    <row r="291">
      <c r="M291">
        <f>IF($L291="Breached",COUNTIF($L$2:$L291,"Breached"),"")</f>
        <v/>
      </c>
      <c r="N291">
        <f>IF($L291="At Risk",COUNTIF($L$2:$L291,"At Risk"),"")</f>
        <v/>
      </c>
    </row>
    <row r="292">
      <c r="M292">
        <f>IF($L292="Breached",COUNTIF($L$2:$L292,"Breached"),"")</f>
        <v/>
      </c>
      <c r="N292">
        <f>IF($L292="At Risk",COUNTIF($L$2:$L292,"At Risk"),"")</f>
        <v/>
      </c>
    </row>
    <row r="293">
      <c r="M293">
        <f>IF($L293="Breached",COUNTIF($L$2:$L293,"Breached"),"")</f>
        <v/>
      </c>
      <c r="N293">
        <f>IF($L293="At Risk",COUNTIF($L$2:$L293,"At Risk"),"")</f>
        <v/>
      </c>
    </row>
    <row r="294">
      <c r="M294">
        <f>IF($L294="Breached",COUNTIF($L$2:$L294,"Breached"),"")</f>
        <v/>
      </c>
      <c r="N294">
        <f>IF($L294="At Risk",COUNTIF($L$2:$L294,"At Risk"),"")</f>
        <v/>
      </c>
    </row>
    <row r="295">
      <c r="M295">
        <f>IF($L295="Breached",COUNTIF($L$2:$L295,"Breached"),"")</f>
        <v/>
      </c>
      <c r="N295">
        <f>IF($L295="At Risk",COUNTIF($L$2:$L295,"At Risk"),"")</f>
        <v/>
      </c>
    </row>
    <row r="296">
      <c r="M296">
        <f>IF($L296="Breached",COUNTIF($L$2:$L296,"Breached"),"")</f>
        <v/>
      </c>
      <c r="N296">
        <f>IF($L296="At Risk",COUNTIF($L$2:$L296,"At Risk"),"")</f>
        <v/>
      </c>
    </row>
    <row r="297">
      <c r="M297">
        <f>IF($L297="Breached",COUNTIF($L$2:$L297,"Breached"),"")</f>
        <v/>
      </c>
      <c r="N297">
        <f>IF($L297="At Risk",COUNTIF($L$2:$L297,"At Risk"),"")</f>
        <v/>
      </c>
    </row>
    <row r="298">
      <c r="M298">
        <f>IF($L298="Breached",COUNTIF($L$2:$L298,"Breached"),"")</f>
        <v/>
      </c>
      <c r="N298">
        <f>IF($L298="At Risk",COUNTIF($L$2:$L298,"At Risk"),"")</f>
        <v/>
      </c>
    </row>
    <row r="299">
      <c r="M299">
        <f>IF($L299="Breached",COUNTIF($L$2:$L299,"Breached"),"")</f>
        <v/>
      </c>
      <c r="N299">
        <f>IF($L299="At Risk",COUNTIF($L$2:$L299,"At Risk"),"")</f>
        <v/>
      </c>
    </row>
    <row r="300">
      <c r="M300">
        <f>IF($L300="Breached",COUNTIF($L$2:$L300,"Breached"),"")</f>
        <v/>
      </c>
      <c r="N300">
        <f>IF($L300="At Risk",COUNTIF($L$2:$L300,"At Risk"),"")</f>
        <v/>
      </c>
    </row>
    <row r="301">
      <c r="M301">
        <f>IF($L301="Breached",COUNTIF($L$2:$L301,"Breached"),"")</f>
        <v/>
      </c>
      <c r="N301">
        <f>IF($L301="At Risk",COUNTIF($L$2:$L301,"At Risk"),"")</f>
        <v/>
      </c>
    </row>
    <row r="302">
      <c r="M302">
        <f>IF($L302="Breached",COUNTIF($L$2:$L302,"Breached"),"")</f>
        <v/>
      </c>
      <c r="N302">
        <f>IF($L302="At Risk",COUNTIF($L$2:$L302,"At Risk"),"")</f>
        <v/>
      </c>
    </row>
    <row r="303">
      <c r="M303">
        <f>IF($L303="Breached",COUNTIF($L$2:$L303,"Breached"),"")</f>
        <v/>
      </c>
      <c r="N303">
        <f>IF($L303="At Risk",COUNTIF($L$2:$L303,"At Risk"),"")</f>
        <v/>
      </c>
    </row>
    <row r="304">
      <c r="M304">
        <f>IF($L304="Breached",COUNTIF($L$2:$L304,"Breached"),"")</f>
        <v/>
      </c>
      <c r="N304">
        <f>IF($L304="At Risk",COUNTIF($L$2:$L304,"At Risk"),"")</f>
        <v/>
      </c>
    </row>
    <row r="305">
      <c r="M305">
        <f>IF($L305="Breached",COUNTIF($L$2:$L305,"Breached"),"")</f>
        <v/>
      </c>
      <c r="N305">
        <f>IF($L305="At Risk",COUNTIF($L$2:$L305,"At Risk"),"")</f>
        <v/>
      </c>
    </row>
    <row r="306">
      <c r="M306">
        <f>IF($L306="Breached",COUNTIF($L$2:$L306,"Breached"),"")</f>
        <v/>
      </c>
      <c r="N306">
        <f>IF($L306="At Risk",COUNTIF($L$2:$L306,"At Risk"),"")</f>
        <v/>
      </c>
    </row>
    <row r="307">
      <c r="M307">
        <f>IF($L307="Breached",COUNTIF($L$2:$L307,"Breached"),"")</f>
        <v/>
      </c>
      <c r="N307">
        <f>IF($L307="At Risk",COUNTIF($L$2:$L307,"At Risk"),"")</f>
        <v/>
      </c>
    </row>
    <row r="308">
      <c r="M308">
        <f>IF($L308="Breached",COUNTIF($L$2:$L308,"Breached"),"")</f>
        <v/>
      </c>
      <c r="N308">
        <f>IF($L308="At Risk",COUNTIF($L$2:$L308,"At Risk"),"")</f>
        <v/>
      </c>
    </row>
    <row r="309">
      <c r="M309">
        <f>IF($L309="Breached",COUNTIF($L$2:$L309,"Breached"),"")</f>
        <v/>
      </c>
      <c r="N309">
        <f>IF($L309="At Risk",COUNTIF($L$2:$L309,"At Risk"),"")</f>
        <v/>
      </c>
    </row>
    <row r="310">
      <c r="M310">
        <f>IF($L310="Breached",COUNTIF($L$2:$L310,"Breached"),"")</f>
        <v/>
      </c>
      <c r="N310">
        <f>IF($L310="At Risk",COUNTIF($L$2:$L310,"At Risk"),"")</f>
        <v/>
      </c>
    </row>
    <row r="311">
      <c r="M311">
        <f>IF($L311="Breached",COUNTIF($L$2:$L311,"Breached"),"")</f>
        <v/>
      </c>
      <c r="N311">
        <f>IF($L311="At Risk",COUNTIF($L$2:$L311,"At Risk"),"")</f>
        <v/>
      </c>
    </row>
    <row r="312">
      <c r="M312">
        <f>IF($L312="Breached",COUNTIF($L$2:$L312,"Breached"),"")</f>
        <v/>
      </c>
      <c r="N312">
        <f>IF($L312="At Risk",COUNTIF($L$2:$L312,"At Risk"),"")</f>
        <v/>
      </c>
    </row>
    <row r="313">
      <c r="M313">
        <f>IF($L313="Breached",COUNTIF($L$2:$L313,"Breached"),"")</f>
        <v/>
      </c>
      <c r="N313">
        <f>IF($L313="At Risk",COUNTIF($L$2:$L313,"At Risk"),"")</f>
        <v/>
      </c>
    </row>
    <row r="314">
      <c r="M314">
        <f>IF($L314="Breached",COUNTIF($L$2:$L314,"Breached"),"")</f>
        <v/>
      </c>
      <c r="N314">
        <f>IF($L314="At Risk",COUNTIF($L$2:$L314,"At Risk"),"")</f>
        <v/>
      </c>
    </row>
    <row r="315">
      <c r="M315">
        <f>IF($L315="Breached",COUNTIF($L$2:$L315,"Breached"),"")</f>
        <v/>
      </c>
      <c r="N315">
        <f>IF($L315="At Risk",COUNTIF($L$2:$L315,"At Risk"),"")</f>
        <v/>
      </c>
    </row>
    <row r="316">
      <c r="M316">
        <f>IF($L316="Breached",COUNTIF($L$2:$L316,"Breached"),"")</f>
        <v/>
      </c>
      <c r="N316">
        <f>IF($L316="At Risk",COUNTIF($L$2:$L316,"At Risk"),"")</f>
        <v/>
      </c>
    </row>
    <row r="317">
      <c r="M317">
        <f>IF($L317="Breached",COUNTIF($L$2:$L317,"Breached"),"")</f>
        <v/>
      </c>
      <c r="N317">
        <f>IF($L317="At Risk",COUNTIF($L$2:$L317,"At Risk"),"")</f>
        <v/>
      </c>
    </row>
    <row r="318">
      <c r="M318">
        <f>IF($L318="Breached",COUNTIF($L$2:$L318,"Breached"),"")</f>
        <v/>
      </c>
      <c r="N318">
        <f>IF($L318="At Risk",COUNTIF($L$2:$L318,"At Risk"),"")</f>
        <v/>
      </c>
    </row>
    <row r="319">
      <c r="M319">
        <f>IF($L319="Breached",COUNTIF($L$2:$L319,"Breached"),"")</f>
        <v/>
      </c>
      <c r="N319">
        <f>IF($L319="At Risk",COUNTIF($L$2:$L319,"At Risk"),"")</f>
        <v/>
      </c>
    </row>
    <row r="320">
      <c r="M320">
        <f>IF($L320="Breached",COUNTIF($L$2:$L320,"Breached"),"")</f>
        <v/>
      </c>
      <c r="N320">
        <f>IF($L320="At Risk",COUNTIF($L$2:$L320,"At Risk"),"")</f>
        <v/>
      </c>
    </row>
    <row r="321">
      <c r="M321">
        <f>IF($L321="Breached",COUNTIF($L$2:$L321,"Breached"),"")</f>
        <v/>
      </c>
      <c r="N321">
        <f>IF($L321="At Risk",COUNTIF($L$2:$L321,"At Risk"),"")</f>
        <v/>
      </c>
    </row>
    <row r="322">
      <c r="M322">
        <f>IF($L322="Breached",COUNTIF($L$2:$L322,"Breached"),"")</f>
        <v/>
      </c>
      <c r="N322">
        <f>IF($L322="At Risk",COUNTIF($L$2:$L322,"At Risk"),"")</f>
        <v/>
      </c>
    </row>
    <row r="323">
      <c r="M323">
        <f>IF($L323="Breached",COUNTIF($L$2:$L323,"Breached"),"")</f>
        <v/>
      </c>
      <c r="N323">
        <f>IF($L323="At Risk",COUNTIF($L$2:$L323,"At Risk"),"")</f>
        <v/>
      </c>
    </row>
    <row r="324">
      <c r="M324">
        <f>IF($L324="Breached",COUNTIF($L$2:$L324,"Breached"),"")</f>
        <v/>
      </c>
      <c r="N324">
        <f>IF($L324="At Risk",COUNTIF($L$2:$L324,"At Risk"),"")</f>
        <v/>
      </c>
    </row>
    <row r="325">
      <c r="M325">
        <f>IF($L325="Breached",COUNTIF($L$2:$L325,"Breached"),"")</f>
        <v/>
      </c>
      <c r="N325">
        <f>IF($L325="At Risk",COUNTIF($L$2:$L325,"At Risk"),"")</f>
        <v/>
      </c>
    </row>
    <row r="326">
      <c r="M326">
        <f>IF($L326="Breached",COUNTIF($L$2:$L326,"Breached"),"")</f>
        <v/>
      </c>
      <c r="N326">
        <f>IF($L326="At Risk",COUNTIF($L$2:$L326,"At Risk"),"")</f>
        <v/>
      </c>
    </row>
    <row r="327">
      <c r="M327">
        <f>IF($L327="Breached",COUNTIF($L$2:$L327,"Breached"),"")</f>
        <v/>
      </c>
      <c r="N327">
        <f>IF($L327="At Risk",COUNTIF($L$2:$L327,"At Risk"),"")</f>
        <v/>
      </c>
    </row>
    <row r="328">
      <c r="M328">
        <f>IF($L328="Breached",COUNTIF($L$2:$L328,"Breached"),"")</f>
        <v/>
      </c>
      <c r="N328">
        <f>IF($L328="At Risk",COUNTIF($L$2:$L328,"At Risk"),"")</f>
        <v/>
      </c>
    </row>
    <row r="329">
      <c r="M329">
        <f>IF($L329="Breached",COUNTIF($L$2:$L329,"Breached"),"")</f>
        <v/>
      </c>
      <c r="N329">
        <f>IF($L329="At Risk",COUNTIF($L$2:$L329,"At Risk"),"")</f>
        <v/>
      </c>
    </row>
    <row r="330">
      <c r="M330">
        <f>IF($L330="Breached",COUNTIF($L$2:$L330,"Breached"),"")</f>
        <v/>
      </c>
      <c r="N330">
        <f>IF($L330="At Risk",COUNTIF($L$2:$L330,"At Risk"),"")</f>
        <v/>
      </c>
    </row>
    <row r="331">
      <c r="M331">
        <f>IF($L331="Breached",COUNTIF($L$2:$L331,"Breached"),"")</f>
        <v/>
      </c>
      <c r="N331">
        <f>IF($L331="At Risk",COUNTIF($L$2:$L331,"At Risk"),"")</f>
        <v/>
      </c>
    </row>
    <row r="332">
      <c r="M332">
        <f>IF($L332="Breached",COUNTIF($L$2:$L332,"Breached"),"")</f>
        <v/>
      </c>
      <c r="N332">
        <f>IF($L332="At Risk",COUNTIF($L$2:$L332,"At Risk"),"")</f>
        <v/>
      </c>
    </row>
    <row r="333">
      <c r="M333">
        <f>IF($L333="Breached",COUNTIF($L$2:$L333,"Breached"),"")</f>
        <v/>
      </c>
      <c r="N333">
        <f>IF($L333="At Risk",COUNTIF($L$2:$L333,"At Risk"),"")</f>
        <v/>
      </c>
    </row>
    <row r="334">
      <c r="M334">
        <f>IF($L334="Breached",COUNTIF($L$2:$L334,"Breached"),"")</f>
        <v/>
      </c>
      <c r="N334">
        <f>IF($L334="At Risk",COUNTIF($L$2:$L334,"At Risk"),"")</f>
        <v/>
      </c>
    </row>
    <row r="335">
      <c r="M335">
        <f>IF($L335="Breached",COUNTIF($L$2:$L335,"Breached"),"")</f>
        <v/>
      </c>
      <c r="N335">
        <f>IF($L335="At Risk",COUNTIF($L$2:$L335,"At Risk"),"")</f>
        <v/>
      </c>
    </row>
    <row r="336">
      <c r="M336">
        <f>IF($L336="Breached",COUNTIF($L$2:$L336,"Breached"),"")</f>
        <v/>
      </c>
      <c r="N336">
        <f>IF($L336="At Risk",COUNTIF($L$2:$L336,"At Risk"),"")</f>
        <v/>
      </c>
    </row>
    <row r="337">
      <c r="M337">
        <f>IF($L337="Breached",COUNTIF($L$2:$L337,"Breached"),"")</f>
        <v/>
      </c>
      <c r="N337">
        <f>IF($L337="At Risk",COUNTIF($L$2:$L337,"At Risk"),"")</f>
        <v/>
      </c>
    </row>
    <row r="338">
      <c r="M338">
        <f>IF($L338="Breached",COUNTIF($L$2:$L338,"Breached"),"")</f>
        <v/>
      </c>
      <c r="N338">
        <f>IF($L338="At Risk",COUNTIF($L$2:$L338,"At Risk"),"")</f>
        <v/>
      </c>
    </row>
    <row r="339">
      <c r="M339">
        <f>IF($L339="Breached",COUNTIF($L$2:$L339,"Breached"),"")</f>
        <v/>
      </c>
      <c r="N339">
        <f>IF($L339="At Risk",COUNTIF($L$2:$L339,"At Risk"),"")</f>
        <v/>
      </c>
    </row>
    <row r="340">
      <c r="M340">
        <f>IF($L340="Breached",COUNTIF($L$2:$L340,"Breached"),"")</f>
        <v/>
      </c>
      <c r="N340">
        <f>IF($L340="At Risk",COUNTIF($L$2:$L340,"At Risk"),"")</f>
        <v/>
      </c>
    </row>
    <row r="341">
      <c r="M341">
        <f>IF($L341="Breached",COUNTIF($L$2:$L341,"Breached"),"")</f>
        <v/>
      </c>
      <c r="N341">
        <f>IF($L341="At Risk",COUNTIF($L$2:$L341,"At Risk"),"")</f>
        <v/>
      </c>
    </row>
    <row r="342">
      <c r="M342">
        <f>IF($L342="Breached",COUNTIF($L$2:$L342,"Breached"),"")</f>
        <v/>
      </c>
      <c r="N342">
        <f>IF($L342="At Risk",COUNTIF($L$2:$L342,"At Risk"),"")</f>
        <v/>
      </c>
    </row>
    <row r="343">
      <c r="M343">
        <f>IF($L343="Breached",COUNTIF($L$2:$L343,"Breached"),"")</f>
        <v/>
      </c>
      <c r="N343">
        <f>IF($L343="At Risk",COUNTIF($L$2:$L343,"At Risk"),"")</f>
        <v/>
      </c>
    </row>
    <row r="344">
      <c r="M344">
        <f>IF($L344="Breached",COUNTIF($L$2:$L344,"Breached"),"")</f>
        <v/>
      </c>
      <c r="N344">
        <f>IF($L344="At Risk",COUNTIF($L$2:$L344,"At Risk"),"")</f>
        <v/>
      </c>
    </row>
    <row r="345">
      <c r="M345">
        <f>IF($L345="Breached",COUNTIF($L$2:$L345,"Breached"),"")</f>
        <v/>
      </c>
      <c r="N345">
        <f>IF($L345="At Risk",COUNTIF($L$2:$L345,"At Risk"),"")</f>
        <v/>
      </c>
    </row>
    <row r="346">
      <c r="M346">
        <f>IF($L346="Breached",COUNTIF($L$2:$L346,"Breached"),"")</f>
        <v/>
      </c>
      <c r="N346">
        <f>IF($L346="At Risk",COUNTIF($L$2:$L346,"At Risk"),"")</f>
        <v/>
      </c>
    </row>
    <row r="347">
      <c r="M347">
        <f>IF($L347="Breached",COUNTIF($L$2:$L347,"Breached"),"")</f>
        <v/>
      </c>
      <c r="N347">
        <f>IF($L347="At Risk",COUNTIF($L$2:$L347,"At Risk"),"")</f>
        <v/>
      </c>
    </row>
    <row r="348">
      <c r="M348">
        <f>IF($L348="Breached",COUNTIF($L$2:$L348,"Breached"),"")</f>
        <v/>
      </c>
      <c r="N348">
        <f>IF($L348="At Risk",COUNTIF($L$2:$L348,"At Risk"),"")</f>
        <v/>
      </c>
    </row>
    <row r="349">
      <c r="M349">
        <f>IF($L349="Breached",COUNTIF($L$2:$L349,"Breached"),"")</f>
        <v/>
      </c>
      <c r="N349">
        <f>IF($L349="At Risk",COUNTIF($L$2:$L349,"At Risk"),"")</f>
        <v/>
      </c>
    </row>
    <row r="350">
      <c r="M350">
        <f>IF($L350="Breached",COUNTIF($L$2:$L350,"Breached"),"")</f>
        <v/>
      </c>
      <c r="N350">
        <f>IF($L350="At Risk",COUNTIF($L$2:$L350,"At Risk"),"")</f>
        <v/>
      </c>
    </row>
    <row r="351">
      <c r="M351">
        <f>IF($L351="Breached",COUNTIF($L$2:$L351,"Breached"),"")</f>
        <v/>
      </c>
      <c r="N351">
        <f>IF($L351="At Risk",COUNTIF($L$2:$L351,"At Risk"),"")</f>
        <v/>
      </c>
    </row>
    <row r="352">
      <c r="M352">
        <f>IF($L352="Breached",COUNTIF($L$2:$L352,"Breached"),"")</f>
        <v/>
      </c>
      <c r="N352">
        <f>IF($L352="At Risk",COUNTIF($L$2:$L352,"At Risk"),"")</f>
        <v/>
      </c>
    </row>
    <row r="353">
      <c r="M353">
        <f>IF($L353="Breached",COUNTIF($L$2:$L353,"Breached"),"")</f>
        <v/>
      </c>
      <c r="N353">
        <f>IF($L353="At Risk",COUNTIF($L$2:$L353,"At Risk"),"")</f>
        <v/>
      </c>
    </row>
    <row r="354">
      <c r="M354">
        <f>IF($L354="Breached",COUNTIF($L$2:$L354,"Breached"),"")</f>
        <v/>
      </c>
      <c r="N354">
        <f>IF($L354="At Risk",COUNTIF($L$2:$L354,"At Risk"),"")</f>
        <v/>
      </c>
    </row>
    <row r="355">
      <c r="M355">
        <f>IF($L355="Breached",COUNTIF($L$2:$L355,"Breached"),"")</f>
        <v/>
      </c>
      <c r="N355">
        <f>IF($L355="At Risk",COUNTIF($L$2:$L355,"At Risk"),"")</f>
        <v/>
      </c>
    </row>
    <row r="356">
      <c r="M356">
        <f>IF($L356="Breached",COUNTIF($L$2:$L356,"Breached"),"")</f>
        <v/>
      </c>
      <c r="N356">
        <f>IF($L356="At Risk",COUNTIF($L$2:$L356,"At Risk"),"")</f>
        <v/>
      </c>
    </row>
    <row r="357">
      <c r="M357">
        <f>IF($L357="Breached",COUNTIF($L$2:$L357,"Breached"),"")</f>
        <v/>
      </c>
      <c r="N357">
        <f>IF($L357="At Risk",COUNTIF($L$2:$L357,"At Risk"),"")</f>
        <v/>
      </c>
    </row>
    <row r="358">
      <c r="M358">
        <f>IF($L358="Breached",COUNTIF($L$2:$L358,"Breached"),"")</f>
        <v/>
      </c>
      <c r="N358">
        <f>IF($L358="At Risk",COUNTIF($L$2:$L358,"At Risk"),"")</f>
        <v/>
      </c>
    </row>
    <row r="359">
      <c r="M359">
        <f>IF($L359="Breached",COUNTIF($L$2:$L359,"Breached"),"")</f>
        <v/>
      </c>
      <c r="N359">
        <f>IF($L359="At Risk",COUNTIF($L$2:$L359,"At Risk"),"")</f>
        <v/>
      </c>
    </row>
    <row r="360">
      <c r="M360">
        <f>IF($L360="Breached",COUNTIF($L$2:$L360,"Breached"),"")</f>
        <v/>
      </c>
      <c r="N360">
        <f>IF($L360="At Risk",COUNTIF($L$2:$L360,"At Risk"),"")</f>
        <v/>
      </c>
    </row>
    <row r="361">
      <c r="M361">
        <f>IF($L361="Breached",COUNTIF($L$2:$L361,"Breached"),"")</f>
        <v/>
      </c>
      <c r="N361">
        <f>IF($L361="At Risk",COUNTIF($L$2:$L361,"At Risk"),"")</f>
        <v/>
      </c>
    </row>
    <row r="362">
      <c r="M362">
        <f>IF($L362="Breached",COUNTIF($L$2:$L362,"Breached"),"")</f>
        <v/>
      </c>
      <c r="N362">
        <f>IF($L362="At Risk",COUNTIF($L$2:$L362,"At Risk"),"")</f>
        <v/>
      </c>
    </row>
    <row r="363">
      <c r="M363">
        <f>IF($L363="Breached",COUNTIF($L$2:$L363,"Breached"),"")</f>
        <v/>
      </c>
      <c r="N363">
        <f>IF($L363="At Risk",COUNTIF($L$2:$L363,"At Risk"),"")</f>
        <v/>
      </c>
    </row>
    <row r="364">
      <c r="M364">
        <f>IF($L364="Breached",COUNTIF($L$2:$L364,"Breached"),"")</f>
        <v/>
      </c>
      <c r="N364">
        <f>IF($L364="At Risk",COUNTIF($L$2:$L364,"At Risk"),"")</f>
        <v/>
      </c>
    </row>
    <row r="365">
      <c r="M365">
        <f>IF($L365="Breached",COUNTIF($L$2:$L365,"Breached"),"")</f>
        <v/>
      </c>
      <c r="N365">
        <f>IF($L365="At Risk",COUNTIF($L$2:$L365,"At Risk"),"")</f>
        <v/>
      </c>
    </row>
    <row r="366">
      <c r="M366">
        <f>IF($L366="Breached",COUNTIF($L$2:$L366,"Breached"),"")</f>
        <v/>
      </c>
      <c r="N366">
        <f>IF($L366="At Risk",COUNTIF($L$2:$L366,"At Risk"),"")</f>
        <v/>
      </c>
    </row>
    <row r="367">
      <c r="M367">
        <f>IF($L367="Breached",COUNTIF($L$2:$L367,"Breached"),"")</f>
        <v/>
      </c>
      <c r="N367">
        <f>IF($L367="At Risk",COUNTIF($L$2:$L367,"At Risk"),"")</f>
        <v/>
      </c>
    </row>
    <row r="368">
      <c r="M368">
        <f>IF($L368="Breached",COUNTIF($L$2:$L368,"Breached"),"")</f>
        <v/>
      </c>
      <c r="N368">
        <f>IF($L368="At Risk",COUNTIF($L$2:$L368,"At Risk"),"")</f>
        <v/>
      </c>
    </row>
    <row r="369">
      <c r="M369">
        <f>IF($L369="Breached",COUNTIF($L$2:$L369,"Breached"),"")</f>
        <v/>
      </c>
      <c r="N369">
        <f>IF($L369="At Risk",COUNTIF($L$2:$L369,"At Risk"),"")</f>
        <v/>
      </c>
    </row>
    <row r="370">
      <c r="M370">
        <f>IF($L370="Breached",COUNTIF($L$2:$L370,"Breached"),"")</f>
        <v/>
      </c>
      <c r="N370">
        <f>IF($L370="At Risk",COUNTIF($L$2:$L370,"At Risk"),"")</f>
        <v/>
      </c>
    </row>
    <row r="371">
      <c r="M371">
        <f>IF($L371="Breached",COUNTIF($L$2:$L371,"Breached"),"")</f>
        <v/>
      </c>
      <c r="N371">
        <f>IF($L371="At Risk",COUNTIF($L$2:$L371,"At Risk"),"")</f>
        <v/>
      </c>
    </row>
    <row r="372">
      <c r="M372">
        <f>IF($L372="Breached",COUNTIF($L$2:$L372,"Breached"),"")</f>
        <v/>
      </c>
      <c r="N372">
        <f>IF($L372="At Risk",COUNTIF($L$2:$L372,"At Risk"),"")</f>
        <v/>
      </c>
    </row>
    <row r="373">
      <c r="M373">
        <f>IF($L373="Breached",COUNTIF($L$2:$L373,"Breached"),"")</f>
        <v/>
      </c>
      <c r="N373">
        <f>IF($L373="At Risk",COUNTIF($L$2:$L373,"At Risk"),"")</f>
        <v/>
      </c>
    </row>
    <row r="374">
      <c r="M374">
        <f>IF($L374="Breached",COUNTIF($L$2:$L374,"Breached"),"")</f>
        <v/>
      </c>
      <c r="N374">
        <f>IF($L374="At Risk",COUNTIF($L$2:$L374,"At Risk"),"")</f>
        <v/>
      </c>
    </row>
    <row r="375">
      <c r="M375">
        <f>IF($L375="Breached",COUNTIF($L$2:$L375,"Breached"),"")</f>
        <v/>
      </c>
      <c r="N375">
        <f>IF($L375="At Risk",COUNTIF($L$2:$L375,"At Risk"),"")</f>
        <v/>
      </c>
    </row>
    <row r="376">
      <c r="M376">
        <f>IF($L376="Breached",COUNTIF($L$2:$L376,"Breached"),"")</f>
        <v/>
      </c>
      <c r="N376">
        <f>IF($L376="At Risk",COUNTIF($L$2:$L376,"At Risk"),"")</f>
        <v/>
      </c>
    </row>
    <row r="377">
      <c r="M377">
        <f>IF($L377="Breached",COUNTIF($L$2:$L377,"Breached"),"")</f>
        <v/>
      </c>
      <c r="N377">
        <f>IF($L377="At Risk",COUNTIF($L$2:$L377,"At Risk"),"")</f>
        <v/>
      </c>
    </row>
    <row r="378">
      <c r="M378">
        <f>IF($L378="Breached",COUNTIF($L$2:$L378,"Breached"),"")</f>
        <v/>
      </c>
      <c r="N378">
        <f>IF($L378="At Risk",COUNTIF($L$2:$L378,"At Risk"),"")</f>
        <v/>
      </c>
    </row>
    <row r="379">
      <c r="M379">
        <f>IF($L379="Breached",COUNTIF($L$2:$L379,"Breached"),"")</f>
        <v/>
      </c>
      <c r="N379">
        <f>IF($L379="At Risk",COUNTIF($L$2:$L379,"At Risk"),"")</f>
        <v/>
      </c>
    </row>
    <row r="380">
      <c r="M380">
        <f>IF($L380="Breached",COUNTIF($L$2:$L380,"Breached"),"")</f>
        <v/>
      </c>
      <c r="N380">
        <f>IF($L380="At Risk",COUNTIF($L$2:$L380,"At Risk"),"")</f>
        <v/>
      </c>
    </row>
    <row r="381">
      <c r="M381">
        <f>IF($L381="Breached",COUNTIF($L$2:$L381,"Breached"),"")</f>
        <v/>
      </c>
      <c r="N381">
        <f>IF($L381="At Risk",COUNTIF($L$2:$L381,"At Risk"),"")</f>
        <v/>
      </c>
    </row>
    <row r="382">
      <c r="M382">
        <f>IF($L382="Breached",COUNTIF($L$2:$L382,"Breached"),"")</f>
        <v/>
      </c>
      <c r="N382">
        <f>IF($L382="At Risk",COUNTIF($L$2:$L382,"At Risk"),"")</f>
        <v/>
      </c>
    </row>
    <row r="383">
      <c r="M383">
        <f>IF($L383="Breached",COUNTIF($L$2:$L383,"Breached"),"")</f>
        <v/>
      </c>
      <c r="N383">
        <f>IF($L383="At Risk",COUNTIF($L$2:$L383,"At Risk"),"")</f>
        <v/>
      </c>
    </row>
    <row r="384">
      <c r="M384">
        <f>IF($L384="Breached",COUNTIF($L$2:$L384,"Breached"),"")</f>
        <v/>
      </c>
      <c r="N384">
        <f>IF($L384="At Risk",COUNTIF($L$2:$L384,"At Risk"),"")</f>
        <v/>
      </c>
    </row>
    <row r="385">
      <c r="M385">
        <f>IF($L385="Breached",COUNTIF($L$2:$L385,"Breached"),"")</f>
        <v/>
      </c>
      <c r="N385">
        <f>IF($L385="At Risk",COUNTIF($L$2:$L385,"At Risk"),"")</f>
        <v/>
      </c>
    </row>
    <row r="386">
      <c r="M386">
        <f>IF($L386="Breached",COUNTIF($L$2:$L386,"Breached"),"")</f>
        <v/>
      </c>
      <c r="N386">
        <f>IF($L386="At Risk",COUNTIF($L$2:$L386,"At Risk"),"")</f>
        <v/>
      </c>
    </row>
    <row r="387">
      <c r="M387">
        <f>IF($L387="Breached",COUNTIF($L$2:$L387,"Breached"),"")</f>
        <v/>
      </c>
      <c r="N387">
        <f>IF($L387="At Risk",COUNTIF($L$2:$L387,"At Risk"),"")</f>
        <v/>
      </c>
    </row>
    <row r="388">
      <c r="M388">
        <f>IF($L388="Breached",COUNTIF($L$2:$L388,"Breached"),"")</f>
        <v/>
      </c>
      <c r="N388">
        <f>IF($L388="At Risk",COUNTIF($L$2:$L388,"At Risk"),"")</f>
        <v/>
      </c>
    </row>
    <row r="389">
      <c r="M389">
        <f>IF($L389="Breached",COUNTIF($L$2:$L389,"Breached"),"")</f>
        <v/>
      </c>
      <c r="N389">
        <f>IF($L389="At Risk",COUNTIF($L$2:$L389,"At Risk"),"")</f>
        <v/>
      </c>
    </row>
    <row r="390">
      <c r="M390">
        <f>IF($L390="Breached",COUNTIF($L$2:$L390,"Breached"),"")</f>
        <v/>
      </c>
      <c r="N390">
        <f>IF($L390="At Risk",COUNTIF($L$2:$L390,"At Risk"),"")</f>
        <v/>
      </c>
    </row>
    <row r="391">
      <c r="M391">
        <f>IF($L391="Breached",COUNTIF($L$2:$L391,"Breached"),"")</f>
        <v/>
      </c>
      <c r="N391">
        <f>IF($L391="At Risk",COUNTIF($L$2:$L391,"At Risk"),"")</f>
        <v/>
      </c>
    </row>
    <row r="392">
      <c r="M392">
        <f>IF($L392="Breached",COUNTIF($L$2:$L392,"Breached"),"")</f>
        <v/>
      </c>
      <c r="N392">
        <f>IF($L392="At Risk",COUNTIF($L$2:$L392,"At Risk"),"")</f>
        <v/>
      </c>
    </row>
    <row r="393">
      <c r="M393">
        <f>IF($L393="Breached",COUNTIF($L$2:$L393,"Breached"),"")</f>
        <v/>
      </c>
      <c r="N393">
        <f>IF($L393="At Risk",COUNTIF($L$2:$L393,"At Risk"),"")</f>
        <v/>
      </c>
    </row>
    <row r="394">
      <c r="M394">
        <f>IF($L394="Breached",COUNTIF($L$2:$L394,"Breached"),"")</f>
        <v/>
      </c>
      <c r="N394">
        <f>IF($L394="At Risk",COUNTIF($L$2:$L394,"At Risk"),"")</f>
        <v/>
      </c>
    </row>
    <row r="395">
      <c r="M395">
        <f>IF($L395="Breached",COUNTIF($L$2:$L395,"Breached"),"")</f>
        <v/>
      </c>
      <c r="N395">
        <f>IF($L395="At Risk",COUNTIF($L$2:$L395,"At Risk"),"")</f>
        <v/>
      </c>
    </row>
    <row r="396">
      <c r="M396">
        <f>IF($L396="Breached",COUNTIF($L$2:$L396,"Breached"),"")</f>
        <v/>
      </c>
      <c r="N396">
        <f>IF($L396="At Risk",COUNTIF($L$2:$L396,"At Risk"),"")</f>
        <v/>
      </c>
    </row>
    <row r="397">
      <c r="M397">
        <f>IF($L397="Breached",COUNTIF($L$2:$L397,"Breached"),"")</f>
        <v/>
      </c>
      <c r="N397">
        <f>IF($L397="At Risk",COUNTIF($L$2:$L397,"At Risk"),"")</f>
        <v/>
      </c>
    </row>
    <row r="398">
      <c r="M398">
        <f>IF($L398="Breached",COUNTIF($L$2:$L398,"Breached"),"")</f>
        <v/>
      </c>
      <c r="N398">
        <f>IF($L398="At Risk",COUNTIF($L$2:$L398,"At Risk"),"")</f>
        <v/>
      </c>
    </row>
    <row r="399">
      <c r="M399">
        <f>IF($L399="Breached",COUNTIF($L$2:$L399,"Breached"),"")</f>
        <v/>
      </c>
      <c r="N399">
        <f>IF($L399="At Risk",COUNTIF($L$2:$L399,"At Risk"),"")</f>
        <v/>
      </c>
    </row>
    <row r="400">
      <c r="M400">
        <f>IF($L400="Breached",COUNTIF($L$2:$L400,"Breached"),"")</f>
        <v/>
      </c>
      <c r="N400">
        <f>IF($L400="At Risk",COUNTIF($L$2:$L400,"At Risk"),"")</f>
        <v/>
      </c>
    </row>
    <row r="401">
      <c r="M401">
        <f>IF($L401="Breached",COUNTIF($L$2:$L401,"Breached"),"")</f>
        <v/>
      </c>
      <c r="N401">
        <f>IF($L401="At Risk",COUNTIF($L$2:$L401,"At Risk"),"")</f>
        <v/>
      </c>
    </row>
    <row r="402">
      <c r="M402">
        <f>IF($L402="Breached",COUNTIF($L$2:$L402,"Breached"),"")</f>
        <v/>
      </c>
      <c r="N402">
        <f>IF($L402="At Risk",COUNTIF($L$2:$L402,"At Risk"),"")</f>
        <v/>
      </c>
    </row>
    <row r="403">
      <c r="M403">
        <f>IF($L403="Breached",COUNTIF($L$2:$L403,"Breached"),"")</f>
        <v/>
      </c>
      <c r="N403">
        <f>IF($L403="At Risk",COUNTIF($L$2:$L403,"At Risk"),"")</f>
        <v/>
      </c>
    </row>
    <row r="404">
      <c r="M404">
        <f>IF($L404="Breached",COUNTIF($L$2:$L404,"Breached"),"")</f>
        <v/>
      </c>
      <c r="N404">
        <f>IF($L404="At Risk",COUNTIF($L$2:$L404,"At Risk"),"")</f>
        <v/>
      </c>
    </row>
    <row r="405">
      <c r="M405">
        <f>IF($L405="Breached",COUNTIF($L$2:$L405,"Breached"),"")</f>
        <v/>
      </c>
      <c r="N405">
        <f>IF($L405="At Risk",COUNTIF($L$2:$L405,"At Risk"),"")</f>
        <v/>
      </c>
    </row>
    <row r="406">
      <c r="M406">
        <f>IF($L406="Breached",COUNTIF($L$2:$L406,"Breached"),"")</f>
        <v/>
      </c>
      <c r="N406">
        <f>IF($L406="At Risk",COUNTIF($L$2:$L406,"At Risk"),"")</f>
        <v/>
      </c>
    </row>
    <row r="407">
      <c r="M407">
        <f>IF($L407="Breached",COUNTIF($L$2:$L407,"Breached"),"")</f>
        <v/>
      </c>
      <c r="N407">
        <f>IF($L407="At Risk",COUNTIF($L$2:$L407,"At Risk"),"")</f>
        <v/>
      </c>
    </row>
    <row r="408">
      <c r="M408">
        <f>IF($L408="Breached",COUNTIF($L$2:$L408,"Breached"),"")</f>
        <v/>
      </c>
      <c r="N408">
        <f>IF($L408="At Risk",COUNTIF($L$2:$L408,"At Risk"),"")</f>
        <v/>
      </c>
    </row>
    <row r="409">
      <c r="M409">
        <f>IF($L409="Breached",COUNTIF($L$2:$L409,"Breached"),"")</f>
        <v/>
      </c>
      <c r="N409">
        <f>IF($L409="At Risk",COUNTIF($L$2:$L409,"At Risk"),"")</f>
        <v/>
      </c>
    </row>
    <row r="410">
      <c r="M410">
        <f>IF($L410="Breached",COUNTIF($L$2:$L410,"Breached"),"")</f>
        <v/>
      </c>
      <c r="N410">
        <f>IF($L410="At Risk",COUNTIF($L$2:$L410,"At Risk"),"")</f>
        <v/>
      </c>
    </row>
    <row r="411">
      <c r="M411">
        <f>IF($L411="Breached",COUNTIF($L$2:$L411,"Breached"),"")</f>
        <v/>
      </c>
      <c r="N411">
        <f>IF($L411="At Risk",COUNTIF($L$2:$L411,"At Risk"),"")</f>
        <v/>
      </c>
    </row>
    <row r="412">
      <c r="M412">
        <f>IF($L412="Breached",COUNTIF($L$2:$L412,"Breached"),"")</f>
        <v/>
      </c>
      <c r="N412">
        <f>IF($L412="At Risk",COUNTIF($L$2:$L412,"At Risk"),"")</f>
        <v/>
      </c>
    </row>
    <row r="413">
      <c r="M413">
        <f>IF($L413="Breached",COUNTIF($L$2:$L413,"Breached"),"")</f>
        <v/>
      </c>
      <c r="N413">
        <f>IF($L413="At Risk",COUNTIF($L$2:$L413,"At Risk"),"")</f>
        <v/>
      </c>
    </row>
    <row r="414">
      <c r="M414">
        <f>IF($L414="Breached",COUNTIF($L$2:$L414,"Breached"),"")</f>
        <v/>
      </c>
      <c r="N414">
        <f>IF($L414="At Risk",COUNTIF($L$2:$L414,"At Risk"),"")</f>
        <v/>
      </c>
    </row>
    <row r="415">
      <c r="M415">
        <f>IF($L415="Breached",COUNTIF($L$2:$L415,"Breached"),"")</f>
        <v/>
      </c>
      <c r="N415">
        <f>IF($L415="At Risk",COUNTIF($L$2:$L415,"At Risk"),"")</f>
        <v/>
      </c>
    </row>
    <row r="416">
      <c r="M416">
        <f>IF($L416="Breached",COUNTIF($L$2:$L416,"Breached"),"")</f>
        <v/>
      </c>
      <c r="N416">
        <f>IF($L416="At Risk",COUNTIF($L$2:$L416,"At Risk"),"")</f>
        <v/>
      </c>
    </row>
    <row r="417">
      <c r="M417">
        <f>IF($L417="Breached",COUNTIF($L$2:$L417,"Breached"),"")</f>
        <v/>
      </c>
      <c r="N417">
        <f>IF($L417="At Risk",COUNTIF($L$2:$L417,"At Risk"),"")</f>
        <v/>
      </c>
    </row>
    <row r="418">
      <c r="M418">
        <f>IF($L418="Breached",COUNTIF($L$2:$L418,"Breached"),"")</f>
        <v/>
      </c>
      <c r="N418">
        <f>IF($L418="At Risk",COUNTIF($L$2:$L418,"At Risk"),"")</f>
        <v/>
      </c>
    </row>
    <row r="419">
      <c r="M419">
        <f>IF($L419="Breached",COUNTIF($L$2:$L419,"Breached"),"")</f>
        <v/>
      </c>
      <c r="N419">
        <f>IF($L419="At Risk",COUNTIF($L$2:$L419,"At Risk"),"")</f>
        <v/>
      </c>
    </row>
    <row r="420">
      <c r="M420">
        <f>IF($L420="Breached",COUNTIF($L$2:$L420,"Breached"),"")</f>
        <v/>
      </c>
      <c r="N420">
        <f>IF($L420="At Risk",COUNTIF($L$2:$L420,"At Risk"),"")</f>
        <v/>
      </c>
    </row>
    <row r="421">
      <c r="M421">
        <f>IF($L421="Breached",COUNTIF($L$2:$L421,"Breached"),"")</f>
        <v/>
      </c>
      <c r="N421">
        <f>IF($L421="At Risk",COUNTIF($L$2:$L421,"At Risk"),"")</f>
        <v/>
      </c>
    </row>
    <row r="422">
      <c r="M422">
        <f>IF($L422="Breached",COUNTIF($L$2:$L422,"Breached"),"")</f>
        <v/>
      </c>
      <c r="N422">
        <f>IF($L422="At Risk",COUNTIF($L$2:$L422,"At Risk"),"")</f>
        <v/>
      </c>
    </row>
    <row r="423">
      <c r="M423">
        <f>IF($L423="Breached",COUNTIF($L$2:$L423,"Breached"),"")</f>
        <v/>
      </c>
      <c r="N423">
        <f>IF($L423="At Risk",COUNTIF($L$2:$L423,"At Risk"),"")</f>
        <v/>
      </c>
    </row>
    <row r="424">
      <c r="M424">
        <f>IF($L424="Breached",COUNTIF($L$2:$L424,"Breached"),"")</f>
        <v/>
      </c>
      <c r="N424">
        <f>IF($L424="At Risk",COUNTIF($L$2:$L424,"At Risk"),"")</f>
        <v/>
      </c>
    </row>
    <row r="425">
      <c r="M425">
        <f>IF($L425="Breached",COUNTIF($L$2:$L425,"Breached"),"")</f>
        <v/>
      </c>
      <c r="N425">
        <f>IF($L425="At Risk",COUNTIF($L$2:$L425,"At Risk"),"")</f>
        <v/>
      </c>
    </row>
    <row r="426">
      <c r="M426">
        <f>IF($L426="Breached",COUNTIF($L$2:$L426,"Breached"),"")</f>
        <v/>
      </c>
      <c r="N426">
        <f>IF($L426="At Risk",COUNTIF($L$2:$L426,"At Risk"),"")</f>
        <v/>
      </c>
    </row>
    <row r="427">
      <c r="M427">
        <f>IF($L427="Breached",COUNTIF($L$2:$L427,"Breached"),"")</f>
        <v/>
      </c>
      <c r="N427">
        <f>IF($L427="At Risk",COUNTIF($L$2:$L427,"At Risk"),"")</f>
        <v/>
      </c>
    </row>
    <row r="428">
      <c r="M428">
        <f>IF($L428="Breached",COUNTIF($L$2:$L428,"Breached"),"")</f>
        <v/>
      </c>
      <c r="N428">
        <f>IF($L428="At Risk",COUNTIF($L$2:$L428,"At Risk"),"")</f>
        <v/>
      </c>
    </row>
    <row r="429">
      <c r="M429">
        <f>IF($L429="Breached",COUNTIF($L$2:$L429,"Breached"),"")</f>
        <v/>
      </c>
      <c r="N429">
        <f>IF($L429="At Risk",COUNTIF($L$2:$L429,"At Risk"),"")</f>
        <v/>
      </c>
    </row>
    <row r="430">
      <c r="M430">
        <f>IF($L430="Breached",COUNTIF($L$2:$L430,"Breached"),"")</f>
        <v/>
      </c>
      <c r="N430">
        <f>IF($L430="At Risk",COUNTIF($L$2:$L430,"At Risk"),"")</f>
        <v/>
      </c>
    </row>
    <row r="431">
      <c r="M431">
        <f>IF($L431="Breached",COUNTIF($L$2:$L431,"Breached"),"")</f>
        <v/>
      </c>
      <c r="N431">
        <f>IF($L431="At Risk",COUNTIF($L$2:$L431,"At Risk"),"")</f>
        <v/>
      </c>
    </row>
    <row r="432">
      <c r="M432">
        <f>IF($L432="Breached",COUNTIF($L$2:$L432,"Breached"),"")</f>
        <v/>
      </c>
      <c r="N432">
        <f>IF($L432="At Risk",COUNTIF($L$2:$L432,"At Risk"),"")</f>
        <v/>
      </c>
    </row>
    <row r="433">
      <c r="M433">
        <f>IF($L433="Breached",COUNTIF($L$2:$L433,"Breached"),"")</f>
        <v/>
      </c>
      <c r="N433">
        <f>IF($L433="At Risk",COUNTIF($L$2:$L433,"At Risk"),"")</f>
        <v/>
      </c>
    </row>
    <row r="434">
      <c r="M434">
        <f>IF($L434="Breached",COUNTIF($L$2:$L434,"Breached"),"")</f>
        <v/>
      </c>
      <c r="N434">
        <f>IF($L434="At Risk",COUNTIF($L$2:$L434,"At Risk"),"")</f>
        <v/>
      </c>
    </row>
    <row r="435">
      <c r="M435">
        <f>IF($L435="Breached",COUNTIF($L$2:$L435,"Breached"),"")</f>
        <v/>
      </c>
      <c r="N435">
        <f>IF($L435="At Risk",COUNTIF($L$2:$L435,"At Risk"),"")</f>
        <v/>
      </c>
    </row>
    <row r="436">
      <c r="M436">
        <f>IF($L436="Breached",COUNTIF($L$2:$L436,"Breached"),"")</f>
        <v/>
      </c>
      <c r="N436">
        <f>IF($L436="At Risk",COUNTIF($L$2:$L436,"At Risk"),"")</f>
        <v/>
      </c>
    </row>
    <row r="437">
      <c r="M437">
        <f>IF($L437="Breached",COUNTIF($L$2:$L437,"Breached"),"")</f>
        <v/>
      </c>
      <c r="N437">
        <f>IF($L437="At Risk",COUNTIF($L$2:$L437,"At Risk"),"")</f>
        <v/>
      </c>
    </row>
    <row r="438">
      <c r="M438">
        <f>IF($L438="Breached",COUNTIF($L$2:$L438,"Breached"),"")</f>
        <v/>
      </c>
      <c r="N438">
        <f>IF($L438="At Risk",COUNTIF($L$2:$L438,"At Risk"),"")</f>
        <v/>
      </c>
    </row>
    <row r="439">
      <c r="M439">
        <f>IF($L439="Breached",COUNTIF($L$2:$L439,"Breached"),"")</f>
        <v/>
      </c>
      <c r="N439">
        <f>IF($L439="At Risk",COUNTIF($L$2:$L439,"At Risk"),"")</f>
        <v/>
      </c>
    </row>
    <row r="440">
      <c r="M440">
        <f>IF($L440="Breached",COUNTIF($L$2:$L440,"Breached"),"")</f>
        <v/>
      </c>
      <c r="N440">
        <f>IF($L440="At Risk",COUNTIF($L$2:$L440,"At Risk"),"")</f>
        <v/>
      </c>
    </row>
    <row r="441">
      <c r="M441">
        <f>IF($L441="Breached",COUNTIF($L$2:$L441,"Breached"),"")</f>
        <v/>
      </c>
      <c r="N441">
        <f>IF($L441="At Risk",COUNTIF($L$2:$L441,"At Risk"),"")</f>
        <v/>
      </c>
    </row>
    <row r="442">
      <c r="M442">
        <f>IF($L442="Breached",COUNTIF($L$2:$L442,"Breached"),"")</f>
        <v/>
      </c>
      <c r="N442">
        <f>IF($L442="At Risk",COUNTIF($L$2:$L442,"At Risk"),"")</f>
        <v/>
      </c>
    </row>
    <row r="443">
      <c r="M443">
        <f>IF($L443="Breached",COUNTIF($L$2:$L443,"Breached"),"")</f>
        <v/>
      </c>
      <c r="N443">
        <f>IF($L443="At Risk",COUNTIF($L$2:$L443,"At Risk"),"")</f>
        <v/>
      </c>
    </row>
    <row r="444">
      <c r="M444">
        <f>IF($L444="Breached",COUNTIF($L$2:$L444,"Breached"),"")</f>
        <v/>
      </c>
      <c r="N444">
        <f>IF($L444="At Risk",COUNTIF($L$2:$L444,"At Risk"),"")</f>
        <v/>
      </c>
    </row>
    <row r="445">
      <c r="M445">
        <f>IF($L445="Breached",COUNTIF($L$2:$L445,"Breached"),"")</f>
        <v/>
      </c>
      <c r="N445">
        <f>IF($L445="At Risk",COUNTIF($L$2:$L445,"At Risk"),"")</f>
        <v/>
      </c>
    </row>
    <row r="446">
      <c r="M446">
        <f>IF($L446="Breached",COUNTIF($L$2:$L446,"Breached"),"")</f>
        <v/>
      </c>
      <c r="N446">
        <f>IF($L446="At Risk",COUNTIF($L$2:$L446,"At Risk"),"")</f>
        <v/>
      </c>
    </row>
    <row r="447">
      <c r="M447">
        <f>IF($L447="Breached",COUNTIF($L$2:$L447,"Breached"),"")</f>
        <v/>
      </c>
      <c r="N447">
        <f>IF($L447="At Risk",COUNTIF($L$2:$L447,"At Risk"),"")</f>
        <v/>
      </c>
    </row>
    <row r="448">
      <c r="M448">
        <f>IF($L448="Breached",COUNTIF($L$2:$L448,"Breached"),"")</f>
        <v/>
      </c>
      <c r="N448">
        <f>IF($L448="At Risk",COUNTIF($L$2:$L448,"At Risk"),"")</f>
        <v/>
      </c>
    </row>
    <row r="449">
      <c r="M449">
        <f>IF($L449="Breached",COUNTIF($L$2:$L449,"Breached"),"")</f>
        <v/>
      </c>
      <c r="N449">
        <f>IF($L449="At Risk",COUNTIF($L$2:$L449,"At Risk"),"")</f>
        <v/>
      </c>
    </row>
    <row r="450">
      <c r="M450">
        <f>IF($L450="Breached",COUNTIF($L$2:$L450,"Breached"),"")</f>
        <v/>
      </c>
      <c r="N450">
        <f>IF($L450="At Risk",COUNTIF($L$2:$L450,"At Risk"),"")</f>
        <v/>
      </c>
    </row>
    <row r="451">
      <c r="M451">
        <f>IF($L451="Breached",COUNTIF($L$2:$L451,"Breached"),"")</f>
        <v/>
      </c>
      <c r="N451">
        <f>IF($L451="At Risk",COUNTIF($L$2:$L451,"At Risk"),"")</f>
        <v/>
      </c>
    </row>
    <row r="452">
      <c r="M452">
        <f>IF($L452="Breached",COUNTIF($L$2:$L452,"Breached"),"")</f>
        <v/>
      </c>
      <c r="N452">
        <f>IF($L452="At Risk",COUNTIF($L$2:$L452,"At Risk"),"")</f>
        <v/>
      </c>
    </row>
    <row r="453">
      <c r="M453">
        <f>IF($L453="Breached",COUNTIF($L$2:$L453,"Breached"),"")</f>
        <v/>
      </c>
      <c r="N453">
        <f>IF($L453="At Risk",COUNTIF($L$2:$L453,"At Risk"),"")</f>
        <v/>
      </c>
    </row>
    <row r="454">
      <c r="M454">
        <f>IF($L454="Breached",COUNTIF($L$2:$L454,"Breached"),"")</f>
        <v/>
      </c>
      <c r="N454">
        <f>IF($L454="At Risk",COUNTIF($L$2:$L454,"At Risk"),"")</f>
        <v/>
      </c>
    </row>
    <row r="455">
      <c r="M455">
        <f>IF($L455="Breached",COUNTIF($L$2:$L455,"Breached"),"")</f>
        <v/>
      </c>
      <c r="N455">
        <f>IF($L455="At Risk",COUNTIF($L$2:$L455,"At Risk"),"")</f>
        <v/>
      </c>
    </row>
    <row r="456">
      <c r="M456">
        <f>IF($L456="Breached",COUNTIF($L$2:$L456,"Breached"),"")</f>
        <v/>
      </c>
      <c r="N456">
        <f>IF($L456="At Risk",COUNTIF($L$2:$L456,"At Risk"),"")</f>
        <v/>
      </c>
    </row>
    <row r="457">
      <c r="M457">
        <f>IF($L457="Breached",COUNTIF($L$2:$L457,"Breached"),"")</f>
        <v/>
      </c>
      <c r="N457">
        <f>IF($L457="At Risk",COUNTIF($L$2:$L457,"At Risk"),"")</f>
        <v/>
      </c>
    </row>
    <row r="458">
      <c r="M458">
        <f>IF($L458="Breached",COUNTIF($L$2:$L458,"Breached"),"")</f>
        <v/>
      </c>
      <c r="N458">
        <f>IF($L458="At Risk",COUNTIF($L$2:$L458,"At Risk"),"")</f>
        <v/>
      </c>
    </row>
    <row r="459">
      <c r="M459">
        <f>IF($L459="Breached",COUNTIF($L$2:$L459,"Breached"),"")</f>
        <v/>
      </c>
      <c r="N459">
        <f>IF($L459="At Risk",COUNTIF($L$2:$L459,"At Risk"),"")</f>
        <v/>
      </c>
    </row>
    <row r="460">
      <c r="M460">
        <f>IF($L460="Breached",COUNTIF($L$2:$L460,"Breached"),"")</f>
        <v/>
      </c>
      <c r="N460">
        <f>IF($L460="At Risk",COUNTIF($L$2:$L460,"At Risk"),"")</f>
        <v/>
      </c>
    </row>
    <row r="461">
      <c r="M461">
        <f>IF($L461="Breached",COUNTIF($L$2:$L461,"Breached"),"")</f>
        <v/>
      </c>
      <c r="N461">
        <f>IF($L461="At Risk",COUNTIF($L$2:$L461,"At Risk"),"")</f>
        <v/>
      </c>
    </row>
    <row r="462">
      <c r="M462">
        <f>IF($L462="Breached",COUNTIF($L$2:$L462,"Breached"),"")</f>
        <v/>
      </c>
      <c r="N462">
        <f>IF($L462="At Risk",COUNTIF($L$2:$L462,"At Risk"),"")</f>
        <v/>
      </c>
    </row>
    <row r="463">
      <c r="M463">
        <f>IF($L463="Breached",COUNTIF($L$2:$L463,"Breached"),"")</f>
        <v/>
      </c>
      <c r="N463">
        <f>IF($L463="At Risk",COUNTIF($L$2:$L463,"At Risk"),"")</f>
        <v/>
      </c>
    </row>
    <row r="464">
      <c r="M464">
        <f>IF($L464="Breached",COUNTIF($L$2:$L464,"Breached"),"")</f>
        <v/>
      </c>
      <c r="N464">
        <f>IF($L464="At Risk",COUNTIF($L$2:$L464,"At Risk"),"")</f>
        <v/>
      </c>
    </row>
    <row r="465">
      <c r="M465">
        <f>IF($L465="Breached",COUNTIF($L$2:$L465,"Breached"),"")</f>
        <v/>
      </c>
      <c r="N465">
        <f>IF($L465="At Risk",COUNTIF($L$2:$L465,"At Risk"),"")</f>
        <v/>
      </c>
    </row>
    <row r="466">
      <c r="M466">
        <f>IF($L466="Breached",COUNTIF($L$2:$L466,"Breached"),"")</f>
        <v/>
      </c>
      <c r="N466">
        <f>IF($L466="At Risk",COUNTIF($L$2:$L466,"At Risk"),"")</f>
        <v/>
      </c>
    </row>
    <row r="467">
      <c r="M467">
        <f>IF($L467="Breached",COUNTIF($L$2:$L467,"Breached"),"")</f>
        <v/>
      </c>
      <c r="N467">
        <f>IF($L467="At Risk",COUNTIF($L$2:$L467,"At Risk"),"")</f>
        <v/>
      </c>
    </row>
    <row r="468">
      <c r="M468">
        <f>IF($L468="Breached",COUNTIF($L$2:$L468,"Breached"),"")</f>
        <v/>
      </c>
      <c r="N468">
        <f>IF($L468="At Risk",COUNTIF($L$2:$L468,"At Risk"),"")</f>
        <v/>
      </c>
    </row>
    <row r="469">
      <c r="M469">
        <f>IF($L469="Breached",COUNTIF($L$2:$L469,"Breached"),"")</f>
        <v/>
      </c>
      <c r="N469">
        <f>IF($L469="At Risk",COUNTIF($L$2:$L469,"At Risk"),"")</f>
        <v/>
      </c>
    </row>
    <row r="470">
      <c r="M470">
        <f>IF($L470="Breached",COUNTIF($L$2:$L470,"Breached"),"")</f>
        <v/>
      </c>
      <c r="N470">
        <f>IF($L470="At Risk",COUNTIF($L$2:$L470,"At Risk"),"")</f>
        <v/>
      </c>
    </row>
    <row r="471">
      <c r="M471">
        <f>IF($L471="Breached",COUNTIF($L$2:$L471,"Breached"),"")</f>
        <v/>
      </c>
      <c r="N471">
        <f>IF($L471="At Risk",COUNTIF($L$2:$L471,"At Risk"),"")</f>
        <v/>
      </c>
    </row>
    <row r="472">
      <c r="M472">
        <f>IF($L472="Breached",COUNTIF($L$2:$L472,"Breached"),"")</f>
        <v/>
      </c>
      <c r="N472">
        <f>IF($L472="At Risk",COUNTIF($L$2:$L472,"At Risk"),"")</f>
        <v/>
      </c>
    </row>
    <row r="473">
      <c r="M473">
        <f>IF($L473="Breached",COUNTIF($L$2:$L473,"Breached"),"")</f>
        <v/>
      </c>
      <c r="N473">
        <f>IF($L473="At Risk",COUNTIF($L$2:$L473,"At Risk"),"")</f>
        <v/>
      </c>
    </row>
    <row r="474">
      <c r="M474">
        <f>IF($L474="Breached",COUNTIF($L$2:$L474,"Breached"),"")</f>
        <v/>
      </c>
      <c r="N474">
        <f>IF($L474="At Risk",COUNTIF($L$2:$L474,"At Risk"),"")</f>
        <v/>
      </c>
    </row>
    <row r="475">
      <c r="M475">
        <f>IF($L475="Breached",COUNTIF($L$2:$L475,"Breached"),"")</f>
        <v/>
      </c>
      <c r="N475">
        <f>IF($L475="At Risk",COUNTIF($L$2:$L475,"At Risk"),"")</f>
        <v/>
      </c>
    </row>
    <row r="476">
      <c r="M476">
        <f>IF($L476="Breached",COUNTIF($L$2:$L476,"Breached"),"")</f>
        <v/>
      </c>
      <c r="N476">
        <f>IF($L476="At Risk",COUNTIF($L$2:$L476,"At Risk"),"")</f>
        <v/>
      </c>
    </row>
    <row r="477">
      <c r="M477">
        <f>IF($L477="Breached",COUNTIF($L$2:$L477,"Breached"),"")</f>
        <v/>
      </c>
      <c r="N477">
        <f>IF($L477="At Risk",COUNTIF($L$2:$L477,"At Risk"),"")</f>
        <v/>
      </c>
    </row>
    <row r="478">
      <c r="M478">
        <f>IF($L478="Breached",COUNTIF($L$2:$L478,"Breached"),"")</f>
        <v/>
      </c>
      <c r="N478">
        <f>IF($L478="At Risk",COUNTIF($L$2:$L478,"At Risk"),"")</f>
        <v/>
      </c>
    </row>
    <row r="479">
      <c r="M479">
        <f>IF($L479="Breached",COUNTIF($L$2:$L479,"Breached"),"")</f>
        <v/>
      </c>
      <c r="N479">
        <f>IF($L479="At Risk",COUNTIF($L$2:$L479,"At Risk"),"")</f>
        <v/>
      </c>
    </row>
    <row r="480">
      <c r="M480">
        <f>IF($L480="Breached",COUNTIF($L$2:$L480,"Breached"),"")</f>
        <v/>
      </c>
      <c r="N480">
        <f>IF($L480="At Risk",COUNTIF($L$2:$L480,"At Risk"),"")</f>
        <v/>
      </c>
    </row>
    <row r="481">
      <c r="M481">
        <f>IF($L481="Breached",COUNTIF($L$2:$L481,"Breached"),"")</f>
        <v/>
      </c>
      <c r="N481">
        <f>IF($L481="At Risk",COUNTIF($L$2:$L481,"At Risk"),"")</f>
        <v/>
      </c>
    </row>
    <row r="482">
      <c r="M482">
        <f>IF($L482="Breached",COUNTIF($L$2:$L482,"Breached"),"")</f>
        <v/>
      </c>
      <c r="N482">
        <f>IF($L482="At Risk",COUNTIF($L$2:$L482,"At Risk"),"")</f>
        <v/>
      </c>
    </row>
    <row r="483">
      <c r="M483">
        <f>IF($L483="Breached",COUNTIF($L$2:$L483,"Breached"),"")</f>
        <v/>
      </c>
      <c r="N483">
        <f>IF($L483="At Risk",COUNTIF($L$2:$L483,"At Risk"),"")</f>
        <v/>
      </c>
    </row>
    <row r="484">
      <c r="M484">
        <f>IF($L484="Breached",COUNTIF($L$2:$L484,"Breached"),"")</f>
        <v/>
      </c>
      <c r="N484">
        <f>IF($L484="At Risk",COUNTIF($L$2:$L484,"At Risk"),"")</f>
        <v/>
      </c>
    </row>
    <row r="485">
      <c r="M485">
        <f>IF($L485="Breached",COUNTIF($L$2:$L485,"Breached"),"")</f>
        <v/>
      </c>
      <c r="N485">
        <f>IF($L485="At Risk",COUNTIF($L$2:$L485,"At Risk"),"")</f>
        <v/>
      </c>
    </row>
    <row r="486">
      <c r="M486">
        <f>IF($L486="Breached",COUNTIF($L$2:$L486,"Breached"),"")</f>
        <v/>
      </c>
      <c r="N486">
        <f>IF($L486="At Risk",COUNTIF($L$2:$L486,"At Risk"),"")</f>
        <v/>
      </c>
    </row>
    <row r="487">
      <c r="M487">
        <f>IF($L487="Breached",COUNTIF($L$2:$L487,"Breached"),"")</f>
        <v/>
      </c>
      <c r="N487">
        <f>IF($L487="At Risk",COUNTIF($L$2:$L487,"At Risk"),"")</f>
        <v/>
      </c>
    </row>
    <row r="488">
      <c r="M488">
        <f>IF($L488="Breached",COUNTIF($L$2:$L488,"Breached"),"")</f>
        <v/>
      </c>
      <c r="N488">
        <f>IF($L488="At Risk",COUNTIF($L$2:$L488,"At Risk"),"")</f>
        <v/>
      </c>
    </row>
    <row r="489">
      <c r="M489">
        <f>IF($L489="Breached",COUNTIF($L$2:$L489,"Breached"),"")</f>
        <v/>
      </c>
      <c r="N489">
        <f>IF($L489="At Risk",COUNTIF($L$2:$L489,"At Risk"),"")</f>
        <v/>
      </c>
    </row>
    <row r="490">
      <c r="M490">
        <f>IF($L490="Breached",COUNTIF($L$2:$L490,"Breached"),"")</f>
        <v/>
      </c>
      <c r="N490">
        <f>IF($L490="At Risk",COUNTIF($L$2:$L490,"At Risk"),"")</f>
        <v/>
      </c>
    </row>
    <row r="491">
      <c r="M491">
        <f>IF($L491="Breached",COUNTIF($L$2:$L491,"Breached"),"")</f>
        <v/>
      </c>
      <c r="N491">
        <f>IF($L491="At Risk",COUNTIF($L$2:$L491,"At Risk"),"")</f>
        <v/>
      </c>
    </row>
    <row r="492">
      <c r="M492">
        <f>IF($L492="Breached",COUNTIF($L$2:$L492,"Breached"),"")</f>
        <v/>
      </c>
      <c r="N492">
        <f>IF($L492="At Risk",COUNTIF($L$2:$L492,"At Risk"),"")</f>
        <v/>
      </c>
    </row>
    <row r="493">
      <c r="M493">
        <f>IF($L493="Breached",COUNTIF($L$2:$L493,"Breached"),"")</f>
        <v/>
      </c>
      <c r="N493">
        <f>IF($L493="At Risk",COUNTIF($L$2:$L493,"At Risk"),"")</f>
        <v/>
      </c>
    </row>
    <row r="494">
      <c r="M494">
        <f>IF($L494="Breached",COUNTIF($L$2:$L494,"Breached"),"")</f>
        <v/>
      </c>
      <c r="N494">
        <f>IF($L494="At Risk",COUNTIF($L$2:$L494,"At Risk"),"")</f>
        <v/>
      </c>
    </row>
    <row r="495">
      <c r="M495">
        <f>IF($L495="Breached",COUNTIF($L$2:$L495,"Breached"),"")</f>
        <v/>
      </c>
      <c r="N495">
        <f>IF($L495="At Risk",COUNTIF($L$2:$L495,"At Risk"),"")</f>
        <v/>
      </c>
    </row>
    <row r="496">
      <c r="M496">
        <f>IF($L496="Breached",COUNTIF($L$2:$L496,"Breached"),"")</f>
        <v/>
      </c>
      <c r="N496">
        <f>IF($L496="At Risk",COUNTIF($L$2:$L496,"At Risk"),"")</f>
        <v/>
      </c>
    </row>
    <row r="497">
      <c r="M497">
        <f>IF($L497="Breached",COUNTIF($L$2:$L497,"Breached"),"")</f>
        <v/>
      </c>
      <c r="N497">
        <f>IF($L497="At Risk",COUNTIF($L$2:$L497,"At Risk"),"")</f>
        <v/>
      </c>
    </row>
    <row r="498">
      <c r="M498">
        <f>IF($L498="Breached",COUNTIF($L$2:$L498,"Breached"),"")</f>
        <v/>
      </c>
      <c r="N498">
        <f>IF($L498="At Risk",COUNTIF($L$2:$L498,"At Risk"),"")</f>
        <v/>
      </c>
    </row>
    <row r="499">
      <c r="M499">
        <f>IF($L499="Breached",COUNTIF($L$2:$L499,"Breached"),"")</f>
        <v/>
      </c>
      <c r="N499">
        <f>IF($L499="At Risk",COUNTIF($L$2:$L499,"At Risk"),"")</f>
        <v/>
      </c>
    </row>
    <row r="500">
      <c r="M500">
        <f>IF($L500="Breached",COUNTIF($L$2:$L500,"Breached"),"")</f>
        <v/>
      </c>
      <c r="N500">
        <f>IF($L500="At Risk",COUNTIF($L$2:$L500,"At Risk"),"")</f>
        <v/>
      </c>
    </row>
  </sheetData>
  <autoFilter ref="A1:L29"/>
  <conditionalFormatting sqref="L2:L500">
    <cfRule type="cellIs" priority="1" operator="equal" dxfId="0">
      <formula>"Breached"</formula>
    </cfRule>
    <cfRule type="cellIs" priority="2" operator="equal" dxfId="1">
      <formula>"At Risk"</formula>
    </cfRule>
    <cfRule type="cellIs" priority="3" operator="equal" dxfId="2">
      <formula>"On Track"</formula>
    </cfRule>
    <cfRule type="cellIs" priority="4" operator="equal" dxfId="3">
      <formula>"Closed"</formula>
    </cfRule>
  </conditionalFormatting>
  <conditionalFormatting sqref="E2:E500">
    <cfRule type="cellIs" priority="5" operator="equal" dxfId="4">
      <formula>"Emergency"</formula>
    </cfRule>
  </conditionalFormatting>
  <dataValidations count="3">
    <dataValidation sqref="D2:D200" showDropDown="0" showInputMessage="0" showErrorMessage="0" allowBlank="0" errorTitle="Invalid entry" error="Please choose a value from the dropdown." type="list">
      <formula1>"Plumbing,Electrical,HVAC,Appliance,Lock/Key,Pest Control,Interior,Exterior/Common Area"</formula1>
    </dataValidation>
    <dataValidation sqref="E2:E200" showDropDown="0" showInputMessage="0" showErrorMessage="0" allowBlank="0" errorTitle="Invalid entry" error="Please choose a value from the dropdown." type="list">
      <formula1>"Emergency,High,Standard,Low"</formula1>
    </dataValidation>
    <dataValidation sqref="H2:H200" showDropDown="0" showInputMessage="0" showErrorMessage="0" allowBlank="0" errorTitle="Invalid entry" error="Please choose a value from the dropdown." type="list">
      <formula1>"Open,In Progress,Waiting on Parts,Closed"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K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3" customWidth="1" min="5" max="5"/>
    <col width="14" customWidth="1" min="6" max="6"/>
    <col width="16" customWidth="1" min="7" max="7"/>
    <col width="16" customWidth="1" min="8" max="8"/>
    <col width="10" customWidth="1" min="9" max="9"/>
    <col width="13" customWidth="1" min="10" max="10"/>
    <col hidden="1" width="16" customWidth="1" min="11" max="11"/>
  </cols>
  <sheetData>
    <row r="1">
      <c r="A1" s="12" t="inlineStr">
        <is>
          <t>Unit</t>
        </is>
      </c>
      <c r="B1" s="12" t="inlineStr">
        <is>
          <t>Building</t>
        </is>
      </c>
      <c r="C1" s="12" t="inlineStr">
        <is>
          <t>Move-Out Date</t>
        </is>
      </c>
      <c r="D1" s="12" t="inlineStr">
        <is>
          <t>Inspection Date</t>
        </is>
      </c>
      <c r="E1" s="12" t="inlineStr">
        <is>
          <t>Inspector</t>
        </is>
      </c>
      <c r="F1" s="12" t="inlineStr">
        <is>
          <t>Deficiencies Found</t>
        </is>
      </c>
      <c r="G1" s="12" t="inlineStr">
        <is>
          <t>Top Deficiency</t>
        </is>
      </c>
      <c r="H1" s="12" t="inlineStr">
        <is>
          <t>Make-Ready Status</t>
        </is>
      </c>
      <c r="I1" s="12" t="inlineStr">
        <is>
          <t>QC Pass</t>
        </is>
      </c>
      <c r="J1" s="12" t="inlineStr">
        <is>
          <t>Ready Date</t>
        </is>
      </c>
      <c r="K1" s="48" t="inlineStr">
        <is>
          <t>_seq_qcfail</t>
        </is>
      </c>
    </row>
    <row r="2">
      <c r="A2" s="16" t="inlineStr">
        <is>
          <t>A-101</t>
        </is>
      </c>
      <c r="B2" s="16" t="inlineStr">
        <is>
          <t>A</t>
        </is>
      </c>
      <c r="C2" s="14" t="n">
        <v>46231</v>
      </c>
      <c r="D2" s="14" t="n">
        <v>46232</v>
      </c>
      <c r="E2" s="13" t="inlineStr">
        <is>
          <t>J. Williams</t>
        </is>
      </c>
      <c r="F2" s="16" t="n">
        <v>4</v>
      </c>
      <c r="G2" s="13" t="inlineStr">
        <is>
          <t>Paint</t>
        </is>
      </c>
      <c r="H2" s="13" t="inlineStr">
        <is>
          <t>Ready</t>
        </is>
      </c>
      <c r="I2" s="16" t="inlineStr">
        <is>
          <t>Yes</t>
        </is>
      </c>
      <c r="J2" s="14" t="n">
        <v>46238</v>
      </c>
      <c r="K2" s="17">
        <f>IF($I2="No",COUNTIF($I$2:$I2,"No"),"")</f>
        <v/>
      </c>
    </row>
    <row r="3">
      <c r="A3" s="16" t="inlineStr">
        <is>
          <t>A-115</t>
        </is>
      </c>
      <c r="B3" s="16" t="inlineStr">
        <is>
          <t>A</t>
        </is>
      </c>
      <c r="C3" s="14" t="n">
        <v>46231</v>
      </c>
      <c r="D3" s="14" t="n">
        <v>46232</v>
      </c>
      <c r="E3" s="13" t="inlineStr">
        <is>
          <t>J. Williams</t>
        </is>
      </c>
      <c r="F3" s="16" t="n">
        <v>7</v>
      </c>
      <c r="G3" s="13" t="inlineStr">
        <is>
          <t>Flooring</t>
        </is>
      </c>
      <c r="H3" s="13" t="inlineStr">
        <is>
          <t>Ready</t>
        </is>
      </c>
      <c r="I3" s="16" t="inlineStr">
        <is>
          <t>Yes</t>
        </is>
      </c>
      <c r="J3" s="14" t="n">
        <v>46241</v>
      </c>
      <c r="K3" s="17">
        <f>IF($I3="No",COUNTIF($I$2:$I3,"No"),"")</f>
        <v/>
      </c>
    </row>
    <row r="4">
      <c r="A4" s="16" t="inlineStr">
        <is>
          <t>A-122</t>
        </is>
      </c>
      <c r="B4" s="16" t="inlineStr">
        <is>
          <t>A</t>
        </is>
      </c>
      <c r="C4" s="14" t="n">
        <v>46232</v>
      </c>
      <c r="D4" s="14" t="n">
        <v>46233</v>
      </c>
      <c r="E4" s="13" t="inlineStr">
        <is>
          <t>M. Torres</t>
        </is>
      </c>
      <c r="F4" s="16" t="n">
        <v>2</v>
      </c>
      <c r="G4" s="13" t="inlineStr">
        <is>
          <t>Cleaning</t>
        </is>
      </c>
      <c r="H4" s="13" t="inlineStr">
        <is>
          <t>Ready</t>
        </is>
      </c>
      <c r="I4" s="16" t="inlineStr">
        <is>
          <t>Yes</t>
        </is>
      </c>
      <c r="J4" s="14" t="n">
        <v>46237</v>
      </c>
      <c r="K4" s="17">
        <f>IF($I4="No",COUNTIF($I$2:$I4,"No"),"")</f>
        <v/>
      </c>
    </row>
    <row r="5">
      <c r="A5" s="16" t="inlineStr">
        <is>
          <t>B-201</t>
        </is>
      </c>
      <c r="B5" s="16" t="inlineStr">
        <is>
          <t>B</t>
        </is>
      </c>
      <c r="C5" s="14" t="n">
        <v>46232</v>
      </c>
      <c r="D5" s="14" t="n">
        <v>46233</v>
      </c>
      <c r="E5" s="13" t="inlineStr">
        <is>
          <t>M. Torres</t>
        </is>
      </c>
      <c r="F5" s="16" t="n">
        <v>5</v>
      </c>
      <c r="G5" s="13" t="inlineStr">
        <is>
          <t>Appliance</t>
        </is>
      </c>
      <c r="H5" s="13" t="inlineStr">
        <is>
          <t>Ready</t>
        </is>
      </c>
      <c r="I5" s="16" t="inlineStr">
        <is>
          <t>Yes</t>
        </is>
      </c>
      <c r="J5" s="14" t="n">
        <v>46240</v>
      </c>
      <c r="K5" s="17">
        <f>IF($I5="No",COUNTIF($I$2:$I5,"No"),"")</f>
        <v/>
      </c>
    </row>
    <row r="6">
      <c r="A6" s="16" t="inlineStr">
        <is>
          <t>B-207</t>
        </is>
      </c>
      <c r="B6" s="16" t="inlineStr">
        <is>
          <t>B</t>
        </is>
      </c>
      <c r="C6" s="14" t="n">
        <v>46233</v>
      </c>
      <c r="D6" s="14" t="n">
        <v>46234</v>
      </c>
      <c r="E6" s="13" t="inlineStr">
        <is>
          <t>D. Kim</t>
        </is>
      </c>
      <c r="F6" s="16" t="n">
        <v>9</v>
      </c>
      <c r="G6" s="13" t="inlineStr">
        <is>
          <t>Plumbing</t>
        </is>
      </c>
      <c r="H6" s="13" t="inlineStr">
        <is>
          <t>Ready for QC</t>
        </is>
      </c>
      <c r="I6" s="16" t="inlineStr">
        <is>
          <t>Pending</t>
        </is>
      </c>
      <c r="J6" s="13" t="n"/>
      <c r="K6" s="17">
        <f>IF($I6="No",COUNTIF($I$2:$I6,"No"),"")</f>
        <v/>
      </c>
    </row>
    <row r="7">
      <c r="A7" s="16" t="inlineStr">
        <is>
          <t>B-214</t>
        </is>
      </c>
      <c r="B7" s="16" t="inlineStr">
        <is>
          <t>B</t>
        </is>
      </c>
      <c r="C7" s="14" t="n">
        <v>46233</v>
      </c>
      <c r="D7" s="14" t="n">
        <v>46234</v>
      </c>
      <c r="E7" s="13" t="inlineStr">
        <is>
          <t>D. Kim</t>
        </is>
      </c>
      <c r="F7" s="16" t="n">
        <v>3</v>
      </c>
      <c r="G7" s="13" t="inlineStr">
        <is>
          <t>Paint</t>
        </is>
      </c>
      <c r="H7" s="13" t="inlineStr">
        <is>
          <t>Ready</t>
        </is>
      </c>
      <c r="I7" s="16" t="inlineStr">
        <is>
          <t>Yes</t>
        </is>
      </c>
      <c r="J7" s="14" t="n">
        <v>46239</v>
      </c>
      <c r="K7" s="17">
        <f>IF($I7="No",COUNTIF($I$2:$I7,"No"),"")</f>
        <v/>
      </c>
    </row>
    <row r="8">
      <c r="A8" s="16" t="inlineStr">
        <is>
          <t>C-301</t>
        </is>
      </c>
      <c r="B8" s="16" t="inlineStr">
        <is>
          <t>C</t>
        </is>
      </c>
      <c r="C8" s="14" t="n">
        <v>46234</v>
      </c>
      <c r="D8" s="14" t="n">
        <v>46235</v>
      </c>
      <c r="E8" s="13" t="inlineStr">
        <is>
          <t>R. Patel</t>
        </is>
      </c>
      <c r="F8" s="16" t="n">
        <v>6</v>
      </c>
      <c r="G8" s="13" t="inlineStr">
        <is>
          <t>Damaged Fixture</t>
        </is>
      </c>
      <c r="H8" s="13" t="inlineStr">
        <is>
          <t>In Progress</t>
        </is>
      </c>
      <c r="I8" s="16" t="inlineStr">
        <is>
          <t>Pending</t>
        </is>
      </c>
      <c r="J8" s="13" t="n"/>
      <c r="K8" s="17">
        <f>IF($I8="No",COUNTIF($I$2:$I8,"No"),"")</f>
        <v/>
      </c>
    </row>
    <row r="9">
      <c r="A9" s="16" t="inlineStr">
        <is>
          <t>C-308</t>
        </is>
      </c>
      <c r="B9" s="16" t="inlineStr">
        <is>
          <t>C</t>
        </is>
      </c>
      <c r="C9" s="14" t="n">
        <v>46234</v>
      </c>
      <c r="D9" s="14" t="n">
        <v>46235</v>
      </c>
      <c r="E9" s="13" t="inlineStr">
        <is>
          <t>R. Patel</t>
        </is>
      </c>
      <c r="F9" s="16" t="n">
        <v>1</v>
      </c>
      <c r="G9" s="13" t="inlineStr">
        <is>
          <t>Cleaning</t>
        </is>
      </c>
      <c r="H9" s="13" t="inlineStr">
        <is>
          <t>Ready</t>
        </is>
      </c>
      <c r="I9" s="16" t="inlineStr">
        <is>
          <t>Yes</t>
        </is>
      </c>
      <c r="J9" s="14" t="n">
        <v>46237</v>
      </c>
      <c r="K9" s="17">
        <f>IF($I9="No",COUNTIF($I$2:$I9,"No"),"")</f>
        <v/>
      </c>
    </row>
    <row r="10">
      <c r="A10" s="16" t="inlineStr">
        <is>
          <t>C-315</t>
        </is>
      </c>
      <c r="B10" s="16" t="inlineStr">
        <is>
          <t>C</t>
        </is>
      </c>
      <c r="C10" s="14" t="n">
        <v>46235</v>
      </c>
      <c r="D10" s="14" t="n">
        <v>46236</v>
      </c>
      <c r="E10" s="13" t="inlineStr">
        <is>
          <t>A. Johnson</t>
        </is>
      </c>
      <c r="F10" s="16" t="n">
        <v>8</v>
      </c>
      <c r="G10" s="13" t="inlineStr">
        <is>
          <t>Flooring</t>
        </is>
      </c>
      <c r="H10" s="13" t="inlineStr">
        <is>
          <t>In Progress</t>
        </is>
      </c>
      <c r="I10" s="16" t="inlineStr">
        <is>
          <t>Pending</t>
        </is>
      </c>
      <c r="J10" s="13" t="n"/>
      <c r="K10" s="17">
        <f>IF($I10="No",COUNTIF($I$2:$I10,"No"),"")</f>
        <v/>
      </c>
    </row>
    <row r="11">
      <c r="A11" s="16" t="inlineStr">
        <is>
          <t>D-102</t>
        </is>
      </c>
      <c r="B11" s="16" t="inlineStr">
        <is>
          <t>D</t>
        </is>
      </c>
      <c r="C11" s="14" t="n">
        <v>46235</v>
      </c>
      <c r="D11" s="14" t="n">
        <v>46236</v>
      </c>
      <c r="E11" s="13" t="inlineStr">
        <is>
          <t>A. Johnson</t>
        </is>
      </c>
      <c r="F11" s="16" t="n">
        <v>2</v>
      </c>
      <c r="G11" s="13" t="inlineStr">
        <is>
          <t>Paint</t>
        </is>
      </c>
      <c r="H11" s="13" t="inlineStr">
        <is>
          <t>Ready</t>
        </is>
      </c>
      <c r="I11" s="16" t="inlineStr">
        <is>
          <t>Yes</t>
        </is>
      </c>
      <c r="J11" s="14" t="n">
        <v>46239</v>
      </c>
      <c r="K11" s="17">
        <f>IF($I11="No",COUNTIF($I$2:$I11,"No"),"")</f>
        <v/>
      </c>
    </row>
    <row r="12">
      <c r="A12" s="16" t="inlineStr">
        <is>
          <t>D-108</t>
        </is>
      </c>
      <c r="B12" s="16" t="inlineStr">
        <is>
          <t>D</t>
        </is>
      </c>
      <c r="C12" s="14" t="n">
        <v>46236</v>
      </c>
      <c r="D12" s="14" t="n">
        <v>46237</v>
      </c>
      <c r="E12" s="13" t="inlineStr">
        <is>
          <t>J. Williams</t>
        </is>
      </c>
      <c r="F12" s="16" t="n">
        <v>4</v>
      </c>
      <c r="G12" s="13" t="inlineStr">
        <is>
          <t>Appliance</t>
        </is>
      </c>
      <c r="H12" s="13" t="inlineStr">
        <is>
          <t>Ready for QC</t>
        </is>
      </c>
      <c r="I12" s="16" t="inlineStr">
        <is>
          <t>Pending</t>
        </is>
      </c>
      <c r="J12" s="13" t="n"/>
      <c r="K12" s="17">
        <f>IF($I12="No",COUNTIF($I$2:$I12,"No"),"")</f>
        <v/>
      </c>
    </row>
    <row r="13">
      <c r="A13" s="16" t="inlineStr">
        <is>
          <t>D-111</t>
        </is>
      </c>
      <c r="B13" s="16" t="inlineStr">
        <is>
          <t>D</t>
        </is>
      </c>
      <c r="C13" s="14" t="n">
        <v>46236</v>
      </c>
      <c r="D13" s="14" t="n">
        <v>46237</v>
      </c>
      <c r="E13" s="13" t="inlineStr">
        <is>
          <t>J. Williams</t>
        </is>
      </c>
      <c r="F13" s="16" t="n">
        <v>0</v>
      </c>
      <c r="G13" s="13" t="inlineStr">
        <is>
          <t>None</t>
        </is>
      </c>
      <c r="H13" s="13" t="inlineStr">
        <is>
          <t>Ready</t>
        </is>
      </c>
      <c r="I13" s="16" t="inlineStr">
        <is>
          <t>Yes</t>
        </is>
      </c>
      <c r="J13" s="14" t="n">
        <v>46238</v>
      </c>
      <c r="K13" s="17">
        <f>IF($I13="No",COUNTIF($I$2:$I13,"No"),"")</f>
        <v/>
      </c>
    </row>
    <row r="14">
      <c r="A14" s="16" t="inlineStr">
        <is>
          <t>A-104</t>
        </is>
      </c>
      <c r="B14" s="16" t="inlineStr">
        <is>
          <t>A</t>
        </is>
      </c>
      <c r="C14" s="14" t="n">
        <v>46237</v>
      </c>
      <c r="D14" s="14" t="n">
        <v>46238</v>
      </c>
      <c r="E14" s="13" t="inlineStr">
        <is>
          <t>M. Torres</t>
        </is>
      </c>
      <c r="F14" s="16" t="n">
        <v>5</v>
      </c>
      <c r="G14" s="13" t="inlineStr">
        <is>
          <t>Plumbing</t>
        </is>
      </c>
      <c r="H14" s="13" t="inlineStr">
        <is>
          <t>In Progress</t>
        </is>
      </c>
      <c r="I14" s="16" t="inlineStr">
        <is>
          <t>Pending</t>
        </is>
      </c>
      <c r="J14" s="13" t="n"/>
      <c r="K14" s="17">
        <f>IF($I14="No",COUNTIF($I$2:$I14,"No"),"")</f>
        <v/>
      </c>
    </row>
    <row r="15">
      <c r="A15" s="16" t="inlineStr">
        <is>
          <t>A-109</t>
        </is>
      </c>
      <c r="B15" s="16" t="inlineStr">
        <is>
          <t>A</t>
        </is>
      </c>
      <c r="C15" s="14" t="n">
        <v>46237</v>
      </c>
      <c r="D15" s="14" t="n">
        <v>46238</v>
      </c>
      <c r="E15" s="13" t="inlineStr">
        <is>
          <t>M. Torres</t>
        </is>
      </c>
      <c r="F15" s="16" t="n">
        <v>3</v>
      </c>
      <c r="G15" s="13" t="inlineStr">
        <is>
          <t>Electrical</t>
        </is>
      </c>
      <c r="H15" s="13" t="inlineStr">
        <is>
          <t>Ready for QC</t>
        </is>
      </c>
      <c r="I15" s="16" t="inlineStr">
        <is>
          <t>No</t>
        </is>
      </c>
      <c r="J15" s="13" t="n"/>
      <c r="K15" s="17">
        <f>IF($I15="No",COUNTIF($I$2:$I15,"No"),"")</f>
        <v/>
      </c>
    </row>
    <row r="16">
      <c r="A16" s="16" t="inlineStr">
        <is>
          <t>B-205</t>
        </is>
      </c>
      <c r="B16" s="16" t="inlineStr">
        <is>
          <t>B</t>
        </is>
      </c>
      <c r="C16" s="14" t="n">
        <v>46238</v>
      </c>
      <c r="D16" s="14" t="n">
        <v>46239</v>
      </c>
      <c r="E16" s="13" t="inlineStr">
        <is>
          <t>D. Kim</t>
        </is>
      </c>
      <c r="F16" s="16" t="n">
        <v>6</v>
      </c>
      <c r="G16" s="13" t="inlineStr">
        <is>
          <t>Paint</t>
        </is>
      </c>
      <c r="H16" s="13" t="inlineStr">
        <is>
          <t>In Progress</t>
        </is>
      </c>
      <c r="I16" s="16" t="inlineStr">
        <is>
          <t>Pending</t>
        </is>
      </c>
      <c r="J16" s="13" t="n"/>
      <c r="K16" s="17">
        <f>IF($I16="No",COUNTIF($I$2:$I16,"No"),"")</f>
        <v/>
      </c>
    </row>
    <row r="17">
      <c r="A17" s="16" t="inlineStr">
        <is>
          <t>B-212</t>
        </is>
      </c>
      <c r="B17" s="16" t="inlineStr">
        <is>
          <t>B</t>
        </is>
      </c>
      <c r="C17" s="14" t="n">
        <v>46238</v>
      </c>
      <c r="D17" s="14" t="n">
        <v>46239</v>
      </c>
      <c r="E17" s="13" t="inlineStr">
        <is>
          <t>D. Kim</t>
        </is>
      </c>
      <c r="F17" s="16" t="n">
        <v>2</v>
      </c>
      <c r="G17" s="13" t="inlineStr">
        <is>
          <t>Cleaning</t>
        </is>
      </c>
      <c r="H17" s="13" t="inlineStr">
        <is>
          <t>Not Started</t>
        </is>
      </c>
      <c r="I17" s="16" t="inlineStr">
        <is>
          <t>Pending</t>
        </is>
      </c>
      <c r="J17" s="13" t="n"/>
      <c r="K17" s="17">
        <f>IF($I17="No",COUNTIF($I$2:$I17,"No"),"")</f>
        <v/>
      </c>
    </row>
    <row r="18">
      <c r="A18" s="16" t="inlineStr">
        <is>
          <t>C-305</t>
        </is>
      </c>
      <c r="B18" s="16" t="inlineStr">
        <is>
          <t>C</t>
        </is>
      </c>
      <c r="C18" s="14" t="n">
        <v>46239</v>
      </c>
      <c r="D18" s="14" t="n">
        <v>46240</v>
      </c>
      <c r="E18" s="13" t="inlineStr">
        <is>
          <t>R. Patel</t>
        </is>
      </c>
      <c r="F18" s="16" t="n">
        <v>4</v>
      </c>
      <c r="G18" s="13" t="inlineStr">
        <is>
          <t>Damaged Fixture</t>
        </is>
      </c>
      <c r="H18" s="13" t="inlineStr">
        <is>
          <t>In Progress</t>
        </is>
      </c>
      <c r="I18" s="16" t="inlineStr">
        <is>
          <t>Pending</t>
        </is>
      </c>
      <c r="J18" s="13" t="n"/>
      <c r="K18" s="17">
        <f>IF($I18="No",COUNTIF($I$2:$I18,"No"),"")</f>
        <v/>
      </c>
    </row>
    <row r="19">
      <c r="A19" s="16" t="inlineStr">
        <is>
          <t>C-318</t>
        </is>
      </c>
      <c r="B19" s="16" t="inlineStr">
        <is>
          <t>C</t>
        </is>
      </c>
      <c r="C19" s="14" t="n">
        <v>46239</v>
      </c>
      <c r="D19" s="14" t="n">
        <v>46240</v>
      </c>
      <c r="E19" s="13" t="inlineStr">
        <is>
          <t>R. Patel</t>
        </is>
      </c>
      <c r="F19" s="16" t="n">
        <v>7</v>
      </c>
      <c r="G19" s="13" t="inlineStr">
        <is>
          <t>Flooring</t>
        </is>
      </c>
      <c r="H19" s="13" t="inlineStr">
        <is>
          <t>Not Started</t>
        </is>
      </c>
      <c r="I19" s="16" t="inlineStr">
        <is>
          <t>Pending</t>
        </is>
      </c>
      <c r="J19" s="13" t="n"/>
      <c r="K19" s="17">
        <f>IF($I19="No",COUNTIF($I$2:$I19,"No"),"")</f>
        <v/>
      </c>
    </row>
    <row r="20">
      <c r="A20" s="16" t="inlineStr">
        <is>
          <t>D-105</t>
        </is>
      </c>
      <c r="B20" s="16" t="inlineStr">
        <is>
          <t>D</t>
        </is>
      </c>
      <c r="C20" s="14" t="n">
        <v>46240</v>
      </c>
      <c r="D20" s="14" t="n">
        <v>46241</v>
      </c>
      <c r="E20" s="13" t="inlineStr">
        <is>
          <t>A. Johnson</t>
        </is>
      </c>
      <c r="F20" s="16" t="n">
        <v>1</v>
      </c>
      <c r="G20" s="13" t="inlineStr">
        <is>
          <t>Cleaning</t>
        </is>
      </c>
      <c r="H20" s="13" t="inlineStr">
        <is>
          <t>Ready</t>
        </is>
      </c>
      <c r="I20" s="16" t="inlineStr">
        <is>
          <t>Yes</t>
        </is>
      </c>
      <c r="J20" s="14" t="n">
        <v>46242</v>
      </c>
      <c r="K20" s="17">
        <f>IF($I20="No",COUNTIF($I$2:$I20,"No"),"")</f>
        <v/>
      </c>
    </row>
    <row r="21">
      <c r="A21" s="16" t="inlineStr">
        <is>
          <t>D-118</t>
        </is>
      </c>
      <c r="B21" s="16" t="inlineStr">
        <is>
          <t>D</t>
        </is>
      </c>
      <c r="C21" s="14" t="n">
        <v>46240</v>
      </c>
      <c r="D21" s="14" t="n">
        <v>46241</v>
      </c>
      <c r="E21" s="13" t="inlineStr">
        <is>
          <t>A. Johnson</t>
        </is>
      </c>
      <c r="F21" s="16" t="n">
        <v>3</v>
      </c>
      <c r="G21" s="13" t="inlineStr">
        <is>
          <t>Paint</t>
        </is>
      </c>
      <c r="H21" s="13" t="inlineStr">
        <is>
          <t>In Progress</t>
        </is>
      </c>
      <c r="I21" s="16" t="inlineStr">
        <is>
          <t>Pending</t>
        </is>
      </c>
      <c r="J21" s="13" t="n"/>
      <c r="K21" s="17">
        <f>IF($I21="No",COUNTIF($I$2:$I21,"No"),"")</f>
        <v/>
      </c>
    </row>
    <row r="22">
      <c r="A22" s="16" t="inlineStr">
        <is>
          <t>A-118</t>
        </is>
      </c>
      <c r="B22" s="16" t="inlineStr">
        <is>
          <t>A</t>
        </is>
      </c>
      <c r="C22" s="14" t="n">
        <v>46241</v>
      </c>
      <c r="D22" s="14" t="n">
        <v>46242</v>
      </c>
      <c r="E22" s="13" t="inlineStr">
        <is>
          <t>J. Williams</t>
        </is>
      </c>
      <c r="F22" s="16" t="n">
        <v>5</v>
      </c>
      <c r="G22" s="13" t="inlineStr">
        <is>
          <t>Appliance</t>
        </is>
      </c>
      <c r="H22" s="13" t="inlineStr">
        <is>
          <t>Not Started</t>
        </is>
      </c>
      <c r="I22" s="16" t="inlineStr">
        <is>
          <t>Pending</t>
        </is>
      </c>
      <c r="J22" s="13" t="n"/>
      <c r="K22" s="17">
        <f>IF($I22="No",COUNTIF($I$2:$I22,"No"),"")</f>
        <v/>
      </c>
    </row>
    <row r="23">
      <c r="A23" s="16" t="inlineStr">
        <is>
          <t>B-220</t>
        </is>
      </c>
      <c r="B23" s="16" t="inlineStr">
        <is>
          <t>B</t>
        </is>
      </c>
      <c r="C23" s="14" t="n">
        <v>46241</v>
      </c>
      <c r="D23" s="14" t="n">
        <v>46242</v>
      </c>
      <c r="E23" s="13" t="inlineStr">
        <is>
          <t>M. Torres</t>
        </is>
      </c>
      <c r="F23" s="16" t="n">
        <v>2</v>
      </c>
      <c r="G23" s="13" t="inlineStr">
        <is>
          <t>Electrical</t>
        </is>
      </c>
      <c r="H23" s="13" t="inlineStr">
        <is>
          <t>In Progress</t>
        </is>
      </c>
      <c r="I23" s="16" t="inlineStr">
        <is>
          <t>Pending</t>
        </is>
      </c>
      <c r="J23" s="13" t="n"/>
      <c r="K23" s="17">
        <f>IF($I23="No",COUNTIF($I$2:$I23,"No"),"")</f>
        <v/>
      </c>
    </row>
    <row r="24">
      <c r="K24">
        <f>IF($I24="No",COUNTIF($I$2:$I24,"No"),"")</f>
        <v/>
      </c>
    </row>
    <row r="25">
      <c r="K25">
        <f>IF($I25="No",COUNTIF($I$2:$I25,"No"),"")</f>
        <v/>
      </c>
    </row>
    <row r="26">
      <c r="K26">
        <f>IF($I26="No",COUNTIF($I$2:$I26,"No"),"")</f>
        <v/>
      </c>
    </row>
    <row r="27">
      <c r="K27">
        <f>IF($I27="No",COUNTIF($I$2:$I27,"No"),"")</f>
        <v/>
      </c>
    </row>
    <row r="28">
      <c r="K28">
        <f>IF($I28="No",COUNTIF($I$2:$I28,"No"),"")</f>
        <v/>
      </c>
    </row>
    <row r="29">
      <c r="K29">
        <f>IF($I29="No",COUNTIF($I$2:$I29,"No"),"")</f>
        <v/>
      </c>
    </row>
    <row r="30">
      <c r="K30">
        <f>IF($I30="No",COUNTIF($I$2:$I30,"No"),"")</f>
        <v/>
      </c>
    </row>
    <row r="31">
      <c r="K31">
        <f>IF($I31="No",COUNTIF($I$2:$I31,"No"),"")</f>
        <v/>
      </c>
    </row>
    <row r="32">
      <c r="K32">
        <f>IF($I32="No",COUNTIF($I$2:$I32,"No"),"")</f>
        <v/>
      </c>
    </row>
    <row r="33">
      <c r="K33">
        <f>IF($I33="No",COUNTIF($I$2:$I33,"No"),"")</f>
        <v/>
      </c>
    </row>
    <row r="34">
      <c r="K34">
        <f>IF($I34="No",COUNTIF($I$2:$I34,"No"),"")</f>
        <v/>
      </c>
    </row>
    <row r="35">
      <c r="K35">
        <f>IF($I35="No",COUNTIF($I$2:$I35,"No"),"")</f>
        <v/>
      </c>
    </row>
    <row r="36">
      <c r="K36">
        <f>IF($I36="No",COUNTIF($I$2:$I36,"No"),"")</f>
        <v/>
      </c>
    </row>
    <row r="37">
      <c r="K37">
        <f>IF($I37="No",COUNTIF($I$2:$I37,"No"),"")</f>
        <v/>
      </c>
    </row>
    <row r="38">
      <c r="K38">
        <f>IF($I38="No",COUNTIF($I$2:$I38,"No"),"")</f>
        <v/>
      </c>
    </row>
    <row r="39">
      <c r="K39">
        <f>IF($I39="No",COUNTIF($I$2:$I39,"No"),"")</f>
        <v/>
      </c>
    </row>
    <row r="40">
      <c r="K40">
        <f>IF($I40="No",COUNTIF($I$2:$I40,"No"),"")</f>
        <v/>
      </c>
    </row>
    <row r="41">
      <c r="K41">
        <f>IF($I41="No",COUNTIF($I$2:$I41,"No"),"")</f>
        <v/>
      </c>
    </row>
    <row r="42">
      <c r="K42">
        <f>IF($I42="No",COUNTIF($I$2:$I42,"No"),"")</f>
        <v/>
      </c>
    </row>
    <row r="43">
      <c r="K43">
        <f>IF($I43="No",COUNTIF($I$2:$I43,"No"),"")</f>
        <v/>
      </c>
    </row>
    <row r="44">
      <c r="K44">
        <f>IF($I44="No",COUNTIF($I$2:$I44,"No"),"")</f>
        <v/>
      </c>
    </row>
    <row r="45">
      <c r="K45">
        <f>IF($I45="No",COUNTIF($I$2:$I45,"No"),"")</f>
        <v/>
      </c>
    </row>
    <row r="46">
      <c r="K46">
        <f>IF($I46="No",COUNTIF($I$2:$I46,"No"),"")</f>
        <v/>
      </c>
    </row>
    <row r="47">
      <c r="K47">
        <f>IF($I47="No",COUNTIF($I$2:$I47,"No"),"")</f>
        <v/>
      </c>
    </row>
    <row r="48">
      <c r="K48">
        <f>IF($I48="No",COUNTIF($I$2:$I48,"No"),"")</f>
        <v/>
      </c>
    </row>
    <row r="49">
      <c r="K49">
        <f>IF($I49="No",COUNTIF($I$2:$I49,"No"),"")</f>
        <v/>
      </c>
    </row>
    <row r="50">
      <c r="K50">
        <f>IF($I50="No",COUNTIF($I$2:$I50,"No"),"")</f>
        <v/>
      </c>
    </row>
    <row r="51">
      <c r="K51">
        <f>IF($I51="No",COUNTIF($I$2:$I51,"No"),"")</f>
        <v/>
      </c>
    </row>
    <row r="52">
      <c r="K52">
        <f>IF($I52="No",COUNTIF($I$2:$I52,"No"),"")</f>
        <v/>
      </c>
    </row>
    <row r="53">
      <c r="K53">
        <f>IF($I53="No",COUNTIF($I$2:$I53,"No"),"")</f>
        <v/>
      </c>
    </row>
    <row r="54">
      <c r="K54">
        <f>IF($I54="No",COUNTIF($I$2:$I54,"No"),"")</f>
        <v/>
      </c>
    </row>
    <row r="55">
      <c r="K55">
        <f>IF($I55="No",COUNTIF($I$2:$I55,"No"),"")</f>
        <v/>
      </c>
    </row>
    <row r="56">
      <c r="K56">
        <f>IF($I56="No",COUNTIF($I$2:$I56,"No"),"")</f>
        <v/>
      </c>
    </row>
    <row r="57">
      <c r="K57">
        <f>IF($I57="No",COUNTIF($I$2:$I57,"No"),"")</f>
        <v/>
      </c>
    </row>
    <row r="58">
      <c r="K58">
        <f>IF($I58="No",COUNTIF($I$2:$I58,"No"),"")</f>
        <v/>
      </c>
    </row>
    <row r="59">
      <c r="K59">
        <f>IF($I59="No",COUNTIF($I$2:$I59,"No"),"")</f>
        <v/>
      </c>
    </row>
    <row r="60">
      <c r="K60">
        <f>IF($I60="No",COUNTIF($I$2:$I60,"No"),"")</f>
        <v/>
      </c>
    </row>
    <row r="61">
      <c r="K61">
        <f>IF($I61="No",COUNTIF($I$2:$I61,"No"),"")</f>
        <v/>
      </c>
    </row>
    <row r="62">
      <c r="K62">
        <f>IF($I62="No",COUNTIF($I$2:$I62,"No"),"")</f>
        <v/>
      </c>
    </row>
    <row r="63">
      <c r="K63">
        <f>IF($I63="No",COUNTIF($I$2:$I63,"No"),"")</f>
        <v/>
      </c>
    </row>
    <row r="64">
      <c r="K64">
        <f>IF($I64="No",COUNTIF($I$2:$I64,"No"),"")</f>
        <v/>
      </c>
    </row>
    <row r="65">
      <c r="K65">
        <f>IF($I65="No",COUNTIF($I$2:$I65,"No"),"")</f>
        <v/>
      </c>
    </row>
    <row r="66">
      <c r="K66">
        <f>IF($I66="No",COUNTIF($I$2:$I66,"No"),"")</f>
        <v/>
      </c>
    </row>
    <row r="67">
      <c r="K67">
        <f>IF($I67="No",COUNTIF($I$2:$I67,"No"),"")</f>
        <v/>
      </c>
    </row>
    <row r="68">
      <c r="K68">
        <f>IF($I68="No",COUNTIF($I$2:$I68,"No"),"")</f>
        <v/>
      </c>
    </row>
    <row r="69">
      <c r="K69">
        <f>IF($I69="No",COUNTIF($I$2:$I69,"No"),"")</f>
        <v/>
      </c>
    </row>
    <row r="70">
      <c r="K70">
        <f>IF($I70="No",COUNTIF($I$2:$I70,"No"),"")</f>
        <v/>
      </c>
    </row>
    <row r="71">
      <c r="K71">
        <f>IF($I71="No",COUNTIF($I$2:$I71,"No"),"")</f>
        <v/>
      </c>
    </row>
    <row r="72">
      <c r="K72">
        <f>IF($I72="No",COUNTIF($I$2:$I72,"No"),"")</f>
        <v/>
      </c>
    </row>
    <row r="73">
      <c r="K73">
        <f>IF($I73="No",COUNTIF($I$2:$I73,"No"),"")</f>
        <v/>
      </c>
    </row>
    <row r="74">
      <c r="K74">
        <f>IF($I74="No",COUNTIF($I$2:$I74,"No"),"")</f>
        <v/>
      </c>
    </row>
    <row r="75">
      <c r="K75">
        <f>IF($I75="No",COUNTIF($I$2:$I75,"No"),"")</f>
        <v/>
      </c>
    </row>
    <row r="76">
      <c r="K76">
        <f>IF($I76="No",COUNTIF($I$2:$I76,"No"),"")</f>
        <v/>
      </c>
    </row>
    <row r="77">
      <c r="K77">
        <f>IF($I77="No",COUNTIF($I$2:$I77,"No"),"")</f>
        <v/>
      </c>
    </row>
    <row r="78">
      <c r="K78">
        <f>IF($I78="No",COUNTIF($I$2:$I78,"No"),"")</f>
        <v/>
      </c>
    </row>
    <row r="79">
      <c r="K79">
        <f>IF($I79="No",COUNTIF($I$2:$I79,"No"),"")</f>
        <v/>
      </c>
    </row>
    <row r="80">
      <c r="K80">
        <f>IF($I80="No",COUNTIF($I$2:$I80,"No"),"")</f>
        <v/>
      </c>
    </row>
    <row r="81">
      <c r="K81">
        <f>IF($I81="No",COUNTIF($I$2:$I81,"No"),"")</f>
        <v/>
      </c>
    </row>
    <row r="82">
      <c r="K82">
        <f>IF($I82="No",COUNTIF($I$2:$I82,"No"),"")</f>
        <v/>
      </c>
    </row>
    <row r="83">
      <c r="K83">
        <f>IF($I83="No",COUNTIF($I$2:$I83,"No"),"")</f>
        <v/>
      </c>
    </row>
    <row r="84">
      <c r="K84">
        <f>IF($I84="No",COUNTIF($I$2:$I84,"No"),"")</f>
        <v/>
      </c>
    </row>
    <row r="85">
      <c r="K85">
        <f>IF($I85="No",COUNTIF($I$2:$I85,"No"),"")</f>
        <v/>
      </c>
    </row>
    <row r="86">
      <c r="K86">
        <f>IF($I86="No",COUNTIF($I$2:$I86,"No"),"")</f>
        <v/>
      </c>
    </row>
    <row r="87">
      <c r="K87">
        <f>IF($I87="No",COUNTIF($I$2:$I87,"No"),"")</f>
        <v/>
      </c>
    </row>
    <row r="88">
      <c r="K88">
        <f>IF($I88="No",COUNTIF($I$2:$I88,"No"),"")</f>
        <v/>
      </c>
    </row>
    <row r="89">
      <c r="K89">
        <f>IF($I89="No",COUNTIF($I$2:$I89,"No"),"")</f>
        <v/>
      </c>
    </row>
    <row r="90">
      <c r="K90">
        <f>IF($I90="No",COUNTIF($I$2:$I90,"No"),"")</f>
        <v/>
      </c>
    </row>
    <row r="91">
      <c r="K91">
        <f>IF($I91="No",COUNTIF($I$2:$I91,"No"),"")</f>
        <v/>
      </c>
    </row>
    <row r="92">
      <c r="K92">
        <f>IF($I92="No",COUNTIF($I$2:$I92,"No"),"")</f>
        <v/>
      </c>
    </row>
    <row r="93">
      <c r="K93">
        <f>IF($I93="No",COUNTIF($I$2:$I93,"No"),"")</f>
        <v/>
      </c>
    </row>
    <row r="94">
      <c r="K94">
        <f>IF($I94="No",COUNTIF($I$2:$I94,"No"),"")</f>
        <v/>
      </c>
    </row>
    <row r="95">
      <c r="K95">
        <f>IF($I95="No",COUNTIF($I$2:$I95,"No"),"")</f>
        <v/>
      </c>
    </row>
    <row r="96">
      <c r="K96">
        <f>IF($I96="No",COUNTIF($I$2:$I96,"No"),"")</f>
        <v/>
      </c>
    </row>
    <row r="97">
      <c r="K97">
        <f>IF($I97="No",COUNTIF($I$2:$I97,"No"),"")</f>
        <v/>
      </c>
    </row>
    <row r="98">
      <c r="K98">
        <f>IF($I98="No",COUNTIF($I$2:$I98,"No"),"")</f>
        <v/>
      </c>
    </row>
    <row r="99">
      <c r="K99">
        <f>IF($I99="No",COUNTIF($I$2:$I99,"No"),"")</f>
        <v/>
      </c>
    </row>
    <row r="100">
      <c r="K100">
        <f>IF($I100="No",COUNTIF($I$2:$I100,"No"),"")</f>
        <v/>
      </c>
    </row>
    <row r="101">
      <c r="K101">
        <f>IF($I101="No",COUNTIF($I$2:$I101,"No"),"")</f>
        <v/>
      </c>
    </row>
    <row r="102">
      <c r="K102">
        <f>IF($I102="No",COUNTIF($I$2:$I102,"No"),"")</f>
        <v/>
      </c>
    </row>
    <row r="103">
      <c r="K103">
        <f>IF($I103="No",COUNTIF($I$2:$I103,"No"),"")</f>
        <v/>
      </c>
    </row>
    <row r="104">
      <c r="K104">
        <f>IF($I104="No",COUNTIF($I$2:$I104,"No"),"")</f>
        <v/>
      </c>
    </row>
    <row r="105">
      <c r="K105">
        <f>IF($I105="No",COUNTIF($I$2:$I105,"No"),"")</f>
        <v/>
      </c>
    </row>
    <row r="106">
      <c r="K106">
        <f>IF($I106="No",COUNTIF($I$2:$I106,"No"),"")</f>
        <v/>
      </c>
    </row>
    <row r="107">
      <c r="K107">
        <f>IF($I107="No",COUNTIF($I$2:$I107,"No"),"")</f>
        <v/>
      </c>
    </row>
    <row r="108">
      <c r="K108">
        <f>IF($I108="No",COUNTIF($I$2:$I108,"No"),"")</f>
        <v/>
      </c>
    </row>
    <row r="109">
      <c r="K109">
        <f>IF($I109="No",COUNTIF($I$2:$I109,"No"),"")</f>
        <v/>
      </c>
    </row>
    <row r="110">
      <c r="K110">
        <f>IF($I110="No",COUNTIF($I$2:$I110,"No"),"")</f>
        <v/>
      </c>
    </row>
    <row r="111">
      <c r="K111">
        <f>IF($I111="No",COUNTIF($I$2:$I111,"No"),"")</f>
        <v/>
      </c>
    </row>
    <row r="112">
      <c r="K112">
        <f>IF($I112="No",COUNTIF($I$2:$I112,"No"),"")</f>
        <v/>
      </c>
    </row>
    <row r="113">
      <c r="K113">
        <f>IF($I113="No",COUNTIF($I$2:$I113,"No"),"")</f>
        <v/>
      </c>
    </row>
    <row r="114">
      <c r="K114">
        <f>IF($I114="No",COUNTIF($I$2:$I114,"No"),"")</f>
        <v/>
      </c>
    </row>
    <row r="115">
      <c r="K115">
        <f>IF($I115="No",COUNTIF($I$2:$I115,"No"),"")</f>
        <v/>
      </c>
    </row>
    <row r="116">
      <c r="K116">
        <f>IF($I116="No",COUNTIF($I$2:$I116,"No"),"")</f>
        <v/>
      </c>
    </row>
    <row r="117">
      <c r="K117">
        <f>IF($I117="No",COUNTIF($I$2:$I117,"No"),"")</f>
        <v/>
      </c>
    </row>
    <row r="118">
      <c r="K118">
        <f>IF($I118="No",COUNTIF($I$2:$I118,"No"),"")</f>
        <v/>
      </c>
    </row>
    <row r="119">
      <c r="K119">
        <f>IF($I119="No",COUNTIF($I$2:$I119,"No"),"")</f>
        <v/>
      </c>
    </row>
    <row r="120">
      <c r="K120">
        <f>IF($I120="No",COUNTIF($I$2:$I120,"No"),"")</f>
        <v/>
      </c>
    </row>
    <row r="121">
      <c r="K121">
        <f>IF($I121="No",COUNTIF($I$2:$I121,"No"),"")</f>
        <v/>
      </c>
    </row>
    <row r="122">
      <c r="K122">
        <f>IF($I122="No",COUNTIF($I$2:$I122,"No"),"")</f>
        <v/>
      </c>
    </row>
    <row r="123">
      <c r="K123">
        <f>IF($I123="No",COUNTIF($I$2:$I123,"No"),"")</f>
        <v/>
      </c>
    </row>
    <row r="124">
      <c r="K124">
        <f>IF($I124="No",COUNTIF($I$2:$I124,"No"),"")</f>
        <v/>
      </c>
    </row>
    <row r="125">
      <c r="K125">
        <f>IF($I125="No",COUNTIF($I$2:$I125,"No"),"")</f>
        <v/>
      </c>
    </row>
    <row r="126">
      <c r="K126">
        <f>IF($I126="No",COUNTIF($I$2:$I126,"No"),"")</f>
        <v/>
      </c>
    </row>
    <row r="127">
      <c r="K127">
        <f>IF($I127="No",COUNTIF($I$2:$I127,"No"),"")</f>
        <v/>
      </c>
    </row>
    <row r="128">
      <c r="K128">
        <f>IF($I128="No",COUNTIF($I$2:$I128,"No"),"")</f>
        <v/>
      </c>
    </row>
    <row r="129">
      <c r="K129">
        <f>IF($I129="No",COUNTIF($I$2:$I129,"No"),"")</f>
        <v/>
      </c>
    </row>
    <row r="130">
      <c r="K130">
        <f>IF($I130="No",COUNTIF($I$2:$I130,"No"),"")</f>
        <v/>
      </c>
    </row>
    <row r="131">
      <c r="K131">
        <f>IF($I131="No",COUNTIF($I$2:$I131,"No"),"")</f>
        <v/>
      </c>
    </row>
    <row r="132">
      <c r="K132">
        <f>IF($I132="No",COUNTIF($I$2:$I132,"No"),"")</f>
        <v/>
      </c>
    </row>
    <row r="133">
      <c r="K133">
        <f>IF($I133="No",COUNTIF($I$2:$I133,"No"),"")</f>
        <v/>
      </c>
    </row>
    <row r="134">
      <c r="K134">
        <f>IF($I134="No",COUNTIF($I$2:$I134,"No"),"")</f>
        <v/>
      </c>
    </row>
    <row r="135">
      <c r="K135">
        <f>IF($I135="No",COUNTIF($I$2:$I135,"No"),"")</f>
        <v/>
      </c>
    </row>
    <row r="136">
      <c r="K136">
        <f>IF($I136="No",COUNTIF($I$2:$I136,"No"),"")</f>
        <v/>
      </c>
    </row>
    <row r="137">
      <c r="K137">
        <f>IF($I137="No",COUNTIF($I$2:$I137,"No"),"")</f>
        <v/>
      </c>
    </row>
    <row r="138">
      <c r="K138">
        <f>IF($I138="No",COUNTIF($I$2:$I138,"No"),"")</f>
        <v/>
      </c>
    </row>
    <row r="139">
      <c r="K139">
        <f>IF($I139="No",COUNTIF($I$2:$I139,"No"),"")</f>
        <v/>
      </c>
    </row>
    <row r="140">
      <c r="K140">
        <f>IF($I140="No",COUNTIF($I$2:$I140,"No"),"")</f>
        <v/>
      </c>
    </row>
    <row r="141">
      <c r="K141">
        <f>IF($I141="No",COUNTIF($I$2:$I141,"No"),"")</f>
        <v/>
      </c>
    </row>
    <row r="142">
      <c r="K142">
        <f>IF($I142="No",COUNTIF($I$2:$I142,"No"),"")</f>
        <v/>
      </c>
    </row>
    <row r="143">
      <c r="K143">
        <f>IF($I143="No",COUNTIF($I$2:$I143,"No"),"")</f>
        <v/>
      </c>
    </row>
    <row r="144">
      <c r="K144">
        <f>IF($I144="No",COUNTIF($I$2:$I144,"No"),"")</f>
        <v/>
      </c>
    </row>
    <row r="145">
      <c r="K145">
        <f>IF($I145="No",COUNTIF($I$2:$I145,"No"),"")</f>
        <v/>
      </c>
    </row>
    <row r="146">
      <c r="K146">
        <f>IF($I146="No",COUNTIF($I$2:$I146,"No"),"")</f>
        <v/>
      </c>
    </row>
    <row r="147">
      <c r="K147">
        <f>IF($I147="No",COUNTIF($I$2:$I147,"No"),"")</f>
        <v/>
      </c>
    </row>
    <row r="148">
      <c r="K148">
        <f>IF($I148="No",COUNTIF($I$2:$I148,"No"),"")</f>
        <v/>
      </c>
    </row>
    <row r="149">
      <c r="K149">
        <f>IF($I149="No",COUNTIF($I$2:$I149,"No"),"")</f>
        <v/>
      </c>
    </row>
    <row r="150">
      <c r="K150">
        <f>IF($I150="No",COUNTIF($I$2:$I150,"No"),"")</f>
        <v/>
      </c>
    </row>
    <row r="151">
      <c r="K151">
        <f>IF($I151="No",COUNTIF($I$2:$I151,"No"),"")</f>
        <v/>
      </c>
    </row>
    <row r="152">
      <c r="K152">
        <f>IF($I152="No",COUNTIF($I$2:$I152,"No"),"")</f>
        <v/>
      </c>
    </row>
    <row r="153">
      <c r="K153">
        <f>IF($I153="No",COUNTIF($I$2:$I153,"No"),"")</f>
        <v/>
      </c>
    </row>
    <row r="154">
      <c r="K154">
        <f>IF($I154="No",COUNTIF($I$2:$I154,"No"),"")</f>
        <v/>
      </c>
    </row>
    <row r="155">
      <c r="K155">
        <f>IF($I155="No",COUNTIF($I$2:$I155,"No"),"")</f>
        <v/>
      </c>
    </row>
    <row r="156">
      <c r="K156">
        <f>IF($I156="No",COUNTIF($I$2:$I156,"No"),"")</f>
        <v/>
      </c>
    </row>
    <row r="157">
      <c r="K157">
        <f>IF($I157="No",COUNTIF($I$2:$I157,"No"),"")</f>
        <v/>
      </c>
    </row>
    <row r="158">
      <c r="K158">
        <f>IF($I158="No",COUNTIF($I$2:$I158,"No"),"")</f>
        <v/>
      </c>
    </row>
    <row r="159">
      <c r="K159">
        <f>IF($I159="No",COUNTIF($I$2:$I159,"No"),"")</f>
        <v/>
      </c>
    </row>
    <row r="160">
      <c r="K160">
        <f>IF($I160="No",COUNTIF($I$2:$I160,"No"),"")</f>
        <v/>
      </c>
    </row>
    <row r="161">
      <c r="K161">
        <f>IF($I161="No",COUNTIF($I$2:$I161,"No"),"")</f>
        <v/>
      </c>
    </row>
    <row r="162">
      <c r="K162">
        <f>IF($I162="No",COUNTIF($I$2:$I162,"No"),"")</f>
        <v/>
      </c>
    </row>
    <row r="163">
      <c r="K163">
        <f>IF($I163="No",COUNTIF($I$2:$I163,"No"),"")</f>
        <v/>
      </c>
    </row>
    <row r="164">
      <c r="K164">
        <f>IF($I164="No",COUNTIF($I$2:$I164,"No"),"")</f>
        <v/>
      </c>
    </row>
    <row r="165">
      <c r="K165">
        <f>IF($I165="No",COUNTIF($I$2:$I165,"No"),"")</f>
        <v/>
      </c>
    </row>
    <row r="166">
      <c r="K166">
        <f>IF($I166="No",COUNTIF($I$2:$I166,"No"),"")</f>
        <v/>
      </c>
    </row>
    <row r="167">
      <c r="K167">
        <f>IF($I167="No",COUNTIF($I$2:$I167,"No"),"")</f>
        <v/>
      </c>
    </row>
    <row r="168">
      <c r="K168">
        <f>IF($I168="No",COUNTIF($I$2:$I168,"No"),"")</f>
        <v/>
      </c>
    </row>
    <row r="169">
      <c r="K169">
        <f>IF($I169="No",COUNTIF($I$2:$I169,"No"),"")</f>
        <v/>
      </c>
    </row>
    <row r="170">
      <c r="K170">
        <f>IF($I170="No",COUNTIF($I$2:$I170,"No"),"")</f>
        <v/>
      </c>
    </row>
    <row r="171">
      <c r="K171">
        <f>IF($I171="No",COUNTIF($I$2:$I171,"No"),"")</f>
        <v/>
      </c>
    </row>
    <row r="172">
      <c r="K172">
        <f>IF($I172="No",COUNTIF($I$2:$I172,"No"),"")</f>
        <v/>
      </c>
    </row>
    <row r="173">
      <c r="K173">
        <f>IF($I173="No",COUNTIF($I$2:$I173,"No"),"")</f>
        <v/>
      </c>
    </row>
    <row r="174">
      <c r="K174">
        <f>IF($I174="No",COUNTIF($I$2:$I174,"No"),"")</f>
        <v/>
      </c>
    </row>
    <row r="175">
      <c r="K175">
        <f>IF($I175="No",COUNTIF($I$2:$I175,"No"),"")</f>
        <v/>
      </c>
    </row>
    <row r="176">
      <c r="K176">
        <f>IF($I176="No",COUNTIF($I$2:$I176,"No"),"")</f>
        <v/>
      </c>
    </row>
    <row r="177">
      <c r="K177">
        <f>IF($I177="No",COUNTIF($I$2:$I177,"No"),"")</f>
        <v/>
      </c>
    </row>
    <row r="178">
      <c r="K178">
        <f>IF($I178="No",COUNTIF($I$2:$I178,"No"),"")</f>
        <v/>
      </c>
    </row>
    <row r="179">
      <c r="K179">
        <f>IF($I179="No",COUNTIF($I$2:$I179,"No"),"")</f>
        <v/>
      </c>
    </row>
    <row r="180">
      <c r="K180">
        <f>IF($I180="No",COUNTIF($I$2:$I180,"No"),"")</f>
        <v/>
      </c>
    </row>
    <row r="181">
      <c r="K181">
        <f>IF($I181="No",COUNTIF($I$2:$I181,"No"),"")</f>
        <v/>
      </c>
    </row>
    <row r="182">
      <c r="K182">
        <f>IF($I182="No",COUNTIF($I$2:$I182,"No"),"")</f>
        <v/>
      </c>
    </row>
    <row r="183">
      <c r="K183">
        <f>IF($I183="No",COUNTIF($I$2:$I183,"No"),"")</f>
        <v/>
      </c>
    </row>
    <row r="184">
      <c r="K184">
        <f>IF($I184="No",COUNTIF($I$2:$I184,"No"),"")</f>
        <v/>
      </c>
    </row>
    <row r="185">
      <c r="K185">
        <f>IF($I185="No",COUNTIF($I$2:$I185,"No"),"")</f>
        <v/>
      </c>
    </row>
    <row r="186">
      <c r="K186">
        <f>IF($I186="No",COUNTIF($I$2:$I186,"No"),"")</f>
        <v/>
      </c>
    </row>
    <row r="187">
      <c r="K187">
        <f>IF($I187="No",COUNTIF($I$2:$I187,"No"),"")</f>
        <v/>
      </c>
    </row>
    <row r="188">
      <c r="K188">
        <f>IF($I188="No",COUNTIF($I$2:$I188,"No"),"")</f>
        <v/>
      </c>
    </row>
    <row r="189">
      <c r="K189">
        <f>IF($I189="No",COUNTIF($I$2:$I189,"No"),"")</f>
        <v/>
      </c>
    </row>
    <row r="190">
      <c r="K190">
        <f>IF($I190="No",COUNTIF($I$2:$I190,"No"),"")</f>
        <v/>
      </c>
    </row>
    <row r="191">
      <c r="K191">
        <f>IF($I191="No",COUNTIF($I$2:$I191,"No"),"")</f>
        <v/>
      </c>
    </row>
    <row r="192">
      <c r="K192">
        <f>IF($I192="No",COUNTIF($I$2:$I192,"No"),"")</f>
        <v/>
      </c>
    </row>
    <row r="193">
      <c r="K193">
        <f>IF($I193="No",COUNTIF($I$2:$I193,"No"),"")</f>
        <v/>
      </c>
    </row>
    <row r="194">
      <c r="K194">
        <f>IF($I194="No",COUNTIF($I$2:$I194,"No"),"")</f>
        <v/>
      </c>
    </row>
    <row r="195">
      <c r="K195">
        <f>IF($I195="No",COUNTIF($I$2:$I195,"No"),"")</f>
        <v/>
      </c>
    </row>
    <row r="196">
      <c r="K196">
        <f>IF($I196="No",COUNTIF($I$2:$I196,"No"),"")</f>
        <v/>
      </c>
    </row>
    <row r="197">
      <c r="K197">
        <f>IF($I197="No",COUNTIF($I$2:$I197,"No"),"")</f>
        <v/>
      </c>
    </row>
    <row r="198">
      <c r="K198">
        <f>IF($I198="No",COUNTIF($I$2:$I198,"No"),"")</f>
        <v/>
      </c>
    </row>
    <row r="199">
      <c r="K199">
        <f>IF($I199="No",COUNTIF($I$2:$I199,"No"),"")</f>
        <v/>
      </c>
    </row>
    <row r="200">
      <c r="K200">
        <f>IF($I200="No",COUNTIF($I$2:$I200,"No"),"")</f>
        <v/>
      </c>
    </row>
    <row r="201">
      <c r="K201">
        <f>IF($I201="No",COUNTIF($I$2:$I201,"No"),"")</f>
        <v/>
      </c>
    </row>
    <row r="202">
      <c r="K202">
        <f>IF($I202="No",COUNTIF($I$2:$I202,"No"),"")</f>
        <v/>
      </c>
    </row>
    <row r="203">
      <c r="K203">
        <f>IF($I203="No",COUNTIF($I$2:$I203,"No"),"")</f>
        <v/>
      </c>
    </row>
    <row r="204">
      <c r="K204">
        <f>IF($I204="No",COUNTIF($I$2:$I204,"No"),"")</f>
        <v/>
      </c>
    </row>
    <row r="205">
      <c r="K205">
        <f>IF($I205="No",COUNTIF($I$2:$I205,"No"),"")</f>
        <v/>
      </c>
    </row>
    <row r="206">
      <c r="K206">
        <f>IF($I206="No",COUNTIF($I$2:$I206,"No"),"")</f>
        <v/>
      </c>
    </row>
    <row r="207">
      <c r="K207">
        <f>IF($I207="No",COUNTIF($I$2:$I207,"No"),"")</f>
        <v/>
      </c>
    </row>
    <row r="208">
      <c r="K208">
        <f>IF($I208="No",COUNTIF($I$2:$I208,"No"),"")</f>
        <v/>
      </c>
    </row>
    <row r="209">
      <c r="K209">
        <f>IF($I209="No",COUNTIF($I$2:$I209,"No"),"")</f>
        <v/>
      </c>
    </row>
    <row r="210">
      <c r="K210">
        <f>IF($I210="No",COUNTIF($I$2:$I210,"No"),"")</f>
        <v/>
      </c>
    </row>
    <row r="211">
      <c r="K211">
        <f>IF($I211="No",COUNTIF($I$2:$I211,"No"),"")</f>
        <v/>
      </c>
    </row>
    <row r="212">
      <c r="K212">
        <f>IF($I212="No",COUNTIF($I$2:$I212,"No"),"")</f>
        <v/>
      </c>
    </row>
    <row r="213">
      <c r="K213">
        <f>IF($I213="No",COUNTIF($I$2:$I213,"No"),"")</f>
        <v/>
      </c>
    </row>
    <row r="214">
      <c r="K214">
        <f>IF($I214="No",COUNTIF($I$2:$I214,"No"),"")</f>
        <v/>
      </c>
    </row>
    <row r="215">
      <c r="K215">
        <f>IF($I215="No",COUNTIF($I$2:$I215,"No"),"")</f>
        <v/>
      </c>
    </row>
    <row r="216">
      <c r="K216">
        <f>IF($I216="No",COUNTIF($I$2:$I216,"No"),"")</f>
        <v/>
      </c>
    </row>
    <row r="217">
      <c r="K217">
        <f>IF($I217="No",COUNTIF($I$2:$I217,"No"),"")</f>
        <v/>
      </c>
    </row>
    <row r="218">
      <c r="K218">
        <f>IF($I218="No",COUNTIF($I$2:$I218,"No"),"")</f>
        <v/>
      </c>
    </row>
    <row r="219">
      <c r="K219">
        <f>IF($I219="No",COUNTIF($I$2:$I219,"No"),"")</f>
        <v/>
      </c>
    </row>
    <row r="220">
      <c r="K220">
        <f>IF($I220="No",COUNTIF($I$2:$I220,"No"),"")</f>
        <v/>
      </c>
    </row>
    <row r="221">
      <c r="K221">
        <f>IF($I221="No",COUNTIF($I$2:$I221,"No"),"")</f>
        <v/>
      </c>
    </row>
    <row r="222">
      <c r="K222">
        <f>IF($I222="No",COUNTIF($I$2:$I222,"No"),"")</f>
        <v/>
      </c>
    </row>
    <row r="223">
      <c r="K223">
        <f>IF($I223="No",COUNTIF($I$2:$I223,"No"),"")</f>
        <v/>
      </c>
    </row>
    <row r="224">
      <c r="K224">
        <f>IF($I224="No",COUNTIF($I$2:$I224,"No"),"")</f>
        <v/>
      </c>
    </row>
    <row r="225">
      <c r="K225">
        <f>IF($I225="No",COUNTIF($I$2:$I225,"No"),"")</f>
        <v/>
      </c>
    </row>
    <row r="226">
      <c r="K226">
        <f>IF($I226="No",COUNTIF($I$2:$I226,"No"),"")</f>
        <v/>
      </c>
    </row>
    <row r="227">
      <c r="K227">
        <f>IF($I227="No",COUNTIF($I$2:$I227,"No"),"")</f>
        <v/>
      </c>
    </row>
    <row r="228">
      <c r="K228">
        <f>IF($I228="No",COUNTIF($I$2:$I228,"No"),"")</f>
        <v/>
      </c>
    </row>
    <row r="229">
      <c r="K229">
        <f>IF($I229="No",COUNTIF($I$2:$I229,"No"),"")</f>
        <v/>
      </c>
    </row>
    <row r="230">
      <c r="K230">
        <f>IF($I230="No",COUNTIF($I$2:$I230,"No"),"")</f>
        <v/>
      </c>
    </row>
    <row r="231">
      <c r="K231">
        <f>IF($I231="No",COUNTIF($I$2:$I231,"No"),"")</f>
        <v/>
      </c>
    </row>
    <row r="232">
      <c r="K232">
        <f>IF($I232="No",COUNTIF($I$2:$I232,"No"),"")</f>
        <v/>
      </c>
    </row>
    <row r="233">
      <c r="K233">
        <f>IF($I233="No",COUNTIF($I$2:$I233,"No"),"")</f>
        <v/>
      </c>
    </row>
    <row r="234">
      <c r="K234">
        <f>IF($I234="No",COUNTIF($I$2:$I234,"No"),"")</f>
        <v/>
      </c>
    </row>
    <row r="235">
      <c r="K235">
        <f>IF($I235="No",COUNTIF($I$2:$I235,"No"),"")</f>
        <v/>
      </c>
    </row>
    <row r="236">
      <c r="K236">
        <f>IF($I236="No",COUNTIF($I$2:$I236,"No"),"")</f>
        <v/>
      </c>
    </row>
    <row r="237">
      <c r="K237">
        <f>IF($I237="No",COUNTIF($I$2:$I237,"No"),"")</f>
        <v/>
      </c>
    </row>
    <row r="238">
      <c r="K238">
        <f>IF($I238="No",COUNTIF($I$2:$I238,"No"),"")</f>
        <v/>
      </c>
    </row>
    <row r="239">
      <c r="K239">
        <f>IF($I239="No",COUNTIF($I$2:$I239,"No"),"")</f>
        <v/>
      </c>
    </row>
    <row r="240">
      <c r="K240">
        <f>IF($I240="No",COUNTIF($I$2:$I240,"No"),"")</f>
        <v/>
      </c>
    </row>
    <row r="241">
      <c r="K241">
        <f>IF($I241="No",COUNTIF($I$2:$I241,"No"),"")</f>
        <v/>
      </c>
    </row>
    <row r="242">
      <c r="K242">
        <f>IF($I242="No",COUNTIF($I$2:$I242,"No"),"")</f>
        <v/>
      </c>
    </row>
    <row r="243">
      <c r="K243">
        <f>IF($I243="No",COUNTIF($I$2:$I243,"No"),"")</f>
        <v/>
      </c>
    </row>
    <row r="244">
      <c r="K244">
        <f>IF($I244="No",COUNTIF($I$2:$I244,"No"),"")</f>
        <v/>
      </c>
    </row>
    <row r="245">
      <c r="K245">
        <f>IF($I245="No",COUNTIF($I$2:$I245,"No"),"")</f>
        <v/>
      </c>
    </row>
    <row r="246">
      <c r="K246">
        <f>IF($I246="No",COUNTIF($I$2:$I246,"No"),"")</f>
        <v/>
      </c>
    </row>
    <row r="247">
      <c r="K247">
        <f>IF($I247="No",COUNTIF($I$2:$I247,"No"),"")</f>
        <v/>
      </c>
    </row>
    <row r="248">
      <c r="K248">
        <f>IF($I248="No",COUNTIF($I$2:$I248,"No"),"")</f>
        <v/>
      </c>
    </row>
    <row r="249">
      <c r="K249">
        <f>IF($I249="No",COUNTIF($I$2:$I249,"No"),"")</f>
        <v/>
      </c>
    </row>
    <row r="250">
      <c r="K250">
        <f>IF($I250="No",COUNTIF($I$2:$I250,"No"),"")</f>
        <v/>
      </c>
    </row>
    <row r="251">
      <c r="K251">
        <f>IF($I251="No",COUNTIF($I$2:$I251,"No"),"")</f>
        <v/>
      </c>
    </row>
    <row r="252">
      <c r="K252">
        <f>IF($I252="No",COUNTIF($I$2:$I252,"No"),"")</f>
        <v/>
      </c>
    </row>
    <row r="253">
      <c r="K253">
        <f>IF($I253="No",COUNTIF($I$2:$I253,"No"),"")</f>
        <v/>
      </c>
    </row>
    <row r="254">
      <c r="K254">
        <f>IF($I254="No",COUNTIF($I$2:$I254,"No"),"")</f>
        <v/>
      </c>
    </row>
    <row r="255">
      <c r="K255">
        <f>IF($I255="No",COUNTIF($I$2:$I255,"No"),"")</f>
        <v/>
      </c>
    </row>
    <row r="256">
      <c r="K256">
        <f>IF($I256="No",COUNTIF($I$2:$I256,"No"),"")</f>
        <v/>
      </c>
    </row>
    <row r="257">
      <c r="K257">
        <f>IF($I257="No",COUNTIF($I$2:$I257,"No"),"")</f>
        <v/>
      </c>
    </row>
    <row r="258">
      <c r="K258">
        <f>IF($I258="No",COUNTIF($I$2:$I258,"No"),"")</f>
        <v/>
      </c>
    </row>
    <row r="259">
      <c r="K259">
        <f>IF($I259="No",COUNTIF($I$2:$I259,"No"),"")</f>
        <v/>
      </c>
    </row>
    <row r="260">
      <c r="K260">
        <f>IF($I260="No",COUNTIF($I$2:$I260,"No"),"")</f>
        <v/>
      </c>
    </row>
    <row r="261">
      <c r="K261">
        <f>IF($I261="No",COUNTIF($I$2:$I261,"No"),"")</f>
        <v/>
      </c>
    </row>
    <row r="262">
      <c r="K262">
        <f>IF($I262="No",COUNTIF($I$2:$I262,"No"),"")</f>
        <v/>
      </c>
    </row>
    <row r="263">
      <c r="K263">
        <f>IF($I263="No",COUNTIF($I$2:$I263,"No"),"")</f>
        <v/>
      </c>
    </row>
    <row r="264">
      <c r="K264">
        <f>IF($I264="No",COUNTIF($I$2:$I264,"No"),"")</f>
        <v/>
      </c>
    </row>
    <row r="265">
      <c r="K265">
        <f>IF($I265="No",COUNTIF($I$2:$I265,"No"),"")</f>
        <v/>
      </c>
    </row>
    <row r="266">
      <c r="K266">
        <f>IF($I266="No",COUNTIF($I$2:$I266,"No"),"")</f>
        <v/>
      </c>
    </row>
    <row r="267">
      <c r="K267">
        <f>IF($I267="No",COUNTIF($I$2:$I267,"No"),"")</f>
        <v/>
      </c>
    </row>
    <row r="268">
      <c r="K268">
        <f>IF($I268="No",COUNTIF($I$2:$I268,"No"),"")</f>
        <v/>
      </c>
    </row>
    <row r="269">
      <c r="K269">
        <f>IF($I269="No",COUNTIF($I$2:$I269,"No"),"")</f>
        <v/>
      </c>
    </row>
    <row r="270">
      <c r="K270">
        <f>IF($I270="No",COUNTIF($I$2:$I270,"No"),"")</f>
        <v/>
      </c>
    </row>
    <row r="271">
      <c r="K271">
        <f>IF($I271="No",COUNTIF($I$2:$I271,"No"),"")</f>
        <v/>
      </c>
    </row>
    <row r="272">
      <c r="K272">
        <f>IF($I272="No",COUNTIF($I$2:$I272,"No"),"")</f>
        <v/>
      </c>
    </row>
    <row r="273">
      <c r="K273">
        <f>IF($I273="No",COUNTIF($I$2:$I273,"No"),"")</f>
        <v/>
      </c>
    </row>
    <row r="274">
      <c r="K274">
        <f>IF($I274="No",COUNTIF($I$2:$I274,"No"),"")</f>
        <v/>
      </c>
    </row>
    <row r="275">
      <c r="K275">
        <f>IF($I275="No",COUNTIF($I$2:$I275,"No"),"")</f>
        <v/>
      </c>
    </row>
    <row r="276">
      <c r="K276">
        <f>IF($I276="No",COUNTIF($I$2:$I276,"No"),"")</f>
        <v/>
      </c>
    </row>
    <row r="277">
      <c r="K277">
        <f>IF($I277="No",COUNTIF($I$2:$I277,"No"),"")</f>
        <v/>
      </c>
    </row>
    <row r="278">
      <c r="K278">
        <f>IF($I278="No",COUNTIF($I$2:$I278,"No"),"")</f>
        <v/>
      </c>
    </row>
    <row r="279">
      <c r="K279">
        <f>IF($I279="No",COUNTIF($I$2:$I279,"No"),"")</f>
        <v/>
      </c>
    </row>
    <row r="280">
      <c r="K280">
        <f>IF($I280="No",COUNTIF($I$2:$I280,"No"),"")</f>
        <v/>
      </c>
    </row>
    <row r="281">
      <c r="K281">
        <f>IF($I281="No",COUNTIF($I$2:$I281,"No"),"")</f>
        <v/>
      </c>
    </row>
    <row r="282">
      <c r="K282">
        <f>IF($I282="No",COUNTIF($I$2:$I282,"No"),"")</f>
        <v/>
      </c>
    </row>
    <row r="283">
      <c r="K283">
        <f>IF($I283="No",COUNTIF($I$2:$I283,"No"),"")</f>
        <v/>
      </c>
    </row>
    <row r="284">
      <c r="K284">
        <f>IF($I284="No",COUNTIF($I$2:$I284,"No"),"")</f>
        <v/>
      </c>
    </row>
    <row r="285">
      <c r="K285">
        <f>IF($I285="No",COUNTIF($I$2:$I285,"No"),"")</f>
        <v/>
      </c>
    </row>
    <row r="286">
      <c r="K286">
        <f>IF($I286="No",COUNTIF($I$2:$I286,"No"),"")</f>
        <v/>
      </c>
    </row>
    <row r="287">
      <c r="K287">
        <f>IF($I287="No",COUNTIF($I$2:$I287,"No"),"")</f>
        <v/>
      </c>
    </row>
    <row r="288">
      <c r="K288">
        <f>IF($I288="No",COUNTIF($I$2:$I288,"No"),"")</f>
        <v/>
      </c>
    </row>
    <row r="289">
      <c r="K289">
        <f>IF($I289="No",COUNTIF($I$2:$I289,"No"),"")</f>
        <v/>
      </c>
    </row>
    <row r="290">
      <c r="K290">
        <f>IF($I290="No",COUNTIF($I$2:$I290,"No"),"")</f>
        <v/>
      </c>
    </row>
    <row r="291">
      <c r="K291">
        <f>IF($I291="No",COUNTIF($I$2:$I291,"No"),"")</f>
        <v/>
      </c>
    </row>
    <row r="292">
      <c r="K292">
        <f>IF($I292="No",COUNTIF($I$2:$I292,"No"),"")</f>
        <v/>
      </c>
    </row>
    <row r="293">
      <c r="K293">
        <f>IF($I293="No",COUNTIF($I$2:$I293,"No"),"")</f>
        <v/>
      </c>
    </row>
    <row r="294">
      <c r="K294">
        <f>IF($I294="No",COUNTIF($I$2:$I294,"No"),"")</f>
        <v/>
      </c>
    </row>
    <row r="295">
      <c r="K295">
        <f>IF($I295="No",COUNTIF($I$2:$I295,"No"),"")</f>
        <v/>
      </c>
    </row>
    <row r="296">
      <c r="K296">
        <f>IF($I296="No",COUNTIF($I$2:$I296,"No"),"")</f>
        <v/>
      </c>
    </row>
    <row r="297">
      <c r="K297">
        <f>IF($I297="No",COUNTIF($I$2:$I297,"No"),"")</f>
        <v/>
      </c>
    </row>
    <row r="298">
      <c r="K298">
        <f>IF($I298="No",COUNTIF($I$2:$I298,"No"),"")</f>
        <v/>
      </c>
    </row>
    <row r="299">
      <c r="K299">
        <f>IF($I299="No",COUNTIF($I$2:$I299,"No"),"")</f>
        <v/>
      </c>
    </row>
    <row r="300">
      <c r="K300">
        <f>IF($I300="No",COUNTIF($I$2:$I300,"No"),"")</f>
        <v/>
      </c>
    </row>
    <row r="301">
      <c r="K301">
        <f>IF($I301="No",COUNTIF($I$2:$I301,"No"),"")</f>
        <v/>
      </c>
    </row>
    <row r="302">
      <c r="K302">
        <f>IF($I302="No",COUNTIF($I$2:$I302,"No"),"")</f>
        <v/>
      </c>
    </row>
    <row r="303">
      <c r="K303">
        <f>IF($I303="No",COUNTIF($I$2:$I303,"No"),"")</f>
        <v/>
      </c>
    </row>
    <row r="304">
      <c r="K304">
        <f>IF($I304="No",COUNTIF($I$2:$I304,"No"),"")</f>
        <v/>
      </c>
    </row>
    <row r="305">
      <c r="K305">
        <f>IF($I305="No",COUNTIF($I$2:$I305,"No"),"")</f>
        <v/>
      </c>
    </row>
    <row r="306">
      <c r="K306">
        <f>IF($I306="No",COUNTIF($I$2:$I306,"No"),"")</f>
        <v/>
      </c>
    </row>
    <row r="307">
      <c r="K307">
        <f>IF($I307="No",COUNTIF($I$2:$I307,"No"),"")</f>
        <v/>
      </c>
    </row>
    <row r="308">
      <c r="K308">
        <f>IF($I308="No",COUNTIF($I$2:$I308,"No"),"")</f>
        <v/>
      </c>
    </row>
    <row r="309">
      <c r="K309">
        <f>IF($I309="No",COUNTIF($I$2:$I309,"No"),"")</f>
        <v/>
      </c>
    </row>
    <row r="310">
      <c r="K310">
        <f>IF($I310="No",COUNTIF($I$2:$I310,"No"),"")</f>
        <v/>
      </c>
    </row>
    <row r="311">
      <c r="K311">
        <f>IF($I311="No",COUNTIF($I$2:$I311,"No"),"")</f>
        <v/>
      </c>
    </row>
    <row r="312">
      <c r="K312">
        <f>IF($I312="No",COUNTIF($I$2:$I312,"No"),"")</f>
        <v/>
      </c>
    </row>
    <row r="313">
      <c r="K313">
        <f>IF($I313="No",COUNTIF($I$2:$I313,"No"),"")</f>
        <v/>
      </c>
    </row>
    <row r="314">
      <c r="K314">
        <f>IF($I314="No",COUNTIF($I$2:$I314,"No"),"")</f>
        <v/>
      </c>
    </row>
    <row r="315">
      <c r="K315">
        <f>IF($I315="No",COUNTIF($I$2:$I315,"No"),"")</f>
        <v/>
      </c>
    </row>
    <row r="316">
      <c r="K316">
        <f>IF($I316="No",COUNTIF($I$2:$I316,"No"),"")</f>
        <v/>
      </c>
    </row>
    <row r="317">
      <c r="K317">
        <f>IF($I317="No",COUNTIF($I$2:$I317,"No"),"")</f>
        <v/>
      </c>
    </row>
    <row r="318">
      <c r="K318">
        <f>IF($I318="No",COUNTIF($I$2:$I318,"No"),"")</f>
        <v/>
      </c>
    </row>
    <row r="319">
      <c r="K319">
        <f>IF($I319="No",COUNTIF($I$2:$I319,"No"),"")</f>
        <v/>
      </c>
    </row>
    <row r="320">
      <c r="K320">
        <f>IF($I320="No",COUNTIF($I$2:$I320,"No"),"")</f>
        <v/>
      </c>
    </row>
    <row r="321">
      <c r="K321">
        <f>IF($I321="No",COUNTIF($I$2:$I321,"No"),"")</f>
        <v/>
      </c>
    </row>
    <row r="322">
      <c r="K322">
        <f>IF($I322="No",COUNTIF($I$2:$I322,"No"),"")</f>
        <v/>
      </c>
    </row>
    <row r="323">
      <c r="K323">
        <f>IF($I323="No",COUNTIF($I$2:$I323,"No"),"")</f>
        <v/>
      </c>
    </row>
    <row r="324">
      <c r="K324">
        <f>IF($I324="No",COUNTIF($I$2:$I324,"No"),"")</f>
        <v/>
      </c>
    </row>
    <row r="325">
      <c r="K325">
        <f>IF($I325="No",COUNTIF($I$2:$I325,"No"),"")</f>
        <v/>
      </c>
    </row>
    <row r="326">
      <c r="K326">
        <f>IF($I326="No",COUNTIF($I$2:$I326,"No"),"")</f>
        <v/>
      </c>
    </row>
    <row r="327">
      <c r="K327">
        <f>IF($I327="No",COUNTIF($I$2:$I327,"No"),"")</f>
        <v/>
      </c>
    </row>
    <row r="328">
      <c r="K328">
        <f>IF($I328="No",COUNTIF($I$2:$I328,"No"),"")</f>
        <v/>
      </c>
    </row>
    <row r="329">
      <c r="K329">
        <f>IF($I329="No",COUNTIF($I$2:$I329,"No"),"")</f>
        <v/>
      </c>
    </row>
    <row r="330">
      <c r="K330">
        <f>IF($I330="No",COUNTIF($I$2:$I330,"No"),"")</f>
        <v/>
      </c>
    </row>
    <row r="331">
      <c r="K331">
        <f>IF($I331="No",COUNTIF($I$2:$I331,"No"),"")</f>
        <v/>
      </c>
    </row>
    <row r="332">
      <c r="K332">
        <f>IF($I332="No",COUNTIF($I$2:$I332,"No"),"")</f>
        <v/>
      </c>
    </row>
    <row r="333">
      <c r="K333">
        <f>IF($I333="No",COUNTIF($I$2:$I333,"No"),"")</f>
        <v/>
      </c>
    </row>
    <row r="334">
      <c r="K334">
        <f>IF($I334="No",COUNTIF($I$2:$I334,"No"),"")</f>
        <v/>
      </c>
    </row>
    <row r="335">
      <c r="K335">
        <f>IF($I335="No",COUNTIF($I$2:$I335,"No"),"")</f>
        <v/>
      </c>
    </row>
    <row r="336">
      <c r="K336">
        <f>IF($I336="No",COUNTIF($I$2:$I336,"No"),"")</f>
        <v/>
      </c>
    </row>
    <row r="337">
      <c r="K337">
        <f>IF($I337="No",COUNTIF($I$2:$I337,"No"),"")</f>
        <v/>
      </c>
    </row>
    <row r="338">
      <c r="K338">
        <f>IF($I338="No",COUNTIF($I$2:$I338,"No"),"")</f>
        <v/>
      </c>
    </row>
    <row r="339">
      <c r="K339">
        <f>IF($I339="No",COUNTIF($I$2:$I339,"No"),"")</f>
        <v/>
      </c>
    </row>
    <row r="340">
      <c r="K340">
        <f>IF($I340="No",COUNTIF($I$2:$I340,"No"),"")</f>
        <v/>
      </c>
    </row>
    <row r="341">
      <c r="K341">
        <f>IF($I341="No",COUNTIF($I$2:$I341,"No"),"")</f>
        <v/>
      </c>
    </row>
    <row r="342">
      <c r="K342">
        <f>IF($I342="No",COUNTIF($I$2:$I342,"No"),"")</f>
        <v/>
      </c>
    </row>
    <row r="343">
      <c r="K343">
        <f>IF($I343="No",COUNTIF($I$2:$I343,"No"),"")</f>
        <v/>
      </c>
    </row>
    <row r="344">
      <c r="K344">
        <f>IF($I344="No",COUNTIF($I$2:$I344,"No"),"")</f>
        <v/>
      </c>
    </row>
    <row r="345">
      <c r="K345">
        <f>IF($I345="No",COUNTIF($I$2:$I345,"No"),"")</f>
        <v/>
      </c>
    </row>
    <row r="346">
      <c r="K346">
        <f>IF($I346="No",COUNTIF($I$2:$I346,"No"),"")</f>
        <v/>
      </c>
    </row>
    <row r="347">
      <c r="K347">
        <f>IF($I347="No",COUNTIF($I$2:$I347,"No"),"")</f>
        <v/>
      </c>
    </row>
    <row r="348">
      <c r="K348">
        <f>IF($I348="No",COUNTIF($I$2:$I348,"No"),"")</f>
        <v/>
      </c>
    </row>
    <row r="349">
      <c r="K349">
        <f>IF($I349="No",COUNTIF($I$2:$I349,"No"),"")</f>
        <v/>
      </c>
    </row>
    <row r="350">
      <c r="K350">
        <f>IF($I350="No",COUNTIF($I$2:$I350,"No"),"")</f>
        <v/>
      </c>
    </row>
    <row r="351">
      <c r="K351">
        <f>IF($I351="No",COUNTIF($I$2:$I351,"No"),"")</f>
        <v/>
      </c>
    </row>
    <row r="352">
      <c r="K352">
        <f>IF($I352="No",COUNTIF($I$2:$I352,"No"),"")</f>
        <v/>
      </c>
    </row>
    <row r="353">
      <c r="K353">
        <f>IF($I353="No",COUNTIF($I$2:$I353,"No"),"")</f>
        <v/>
      </c>
    </row>
    <row r="354">
      <c r="K354">
        <f>IF($I354="No",COUNTIF($I$2:$I354,"No"),"")</f>
        <v/>
      </c>
    </row>
    <row r="355">
      <c r="K355">
        <f>IF($I355="No",COUNTIF($I$2:$I355,"No"),"")</f>
        <v/>
      </c>
    </row>
    <row r="356">
      <c r="K356">
        <f>IF($I356="No",COUNTIF($I$2:$I356,"No"),"")</f>
        <v/>
      </c>
    </row>
    <row r="357">
      <c r="K357">
        <f>IF($I357="No",COUNTIF($I$2:$I357,"No"),"")</f>
        <v/>
      </c>
    </row>
    <row r="358">
      <c r="K358">
        <f>IF($I358="No",COUNTIF($I$2:$I358,"No"),"")</f>
        <v/>
      </c>
    </row>
    <row r="359">
      <c r="K359">
        <f>IF($I359="No",COUNTIF($I$2:$I359,"No"),"")</f>
        <v/>
      </c>
    </row>
    <row r="360">
      <c r="K360">
        <f>IF($I360="No",COUNTIF($I$2:$I360,"No"),"")</f>
        <v/>
      </c>
    </row>
    <row r="361">
      <c r="K361">
        <f>IF($I361="No",COUNTIF($I$2:$I361,"No"),"")</f>
        <v/>
      </c>
    </row>
    <row r="362">
      <c r="K362">
        <f>IF($I362="No",COUNTIF($I$2:$I362,"No"),"")</f>
        <v/>
      </c>
    </row>
    <row r="363">
      <c r="K363">
        <f>IF($I363="No",COUNTIF($I$2:$I363,"No"),"")</f>
        <v/>
      </c>
    </row>
    <row r="364">
      <c r="K364">
        <f>IF($I364="No",COUNTIF($I$2:$I364,"No"),"")</f>
        <v/>
      </c>
    </row>
    <row r="365">
      <c r="K365">
        <f>IF($I365="No",COUNTIF($I$2:$I365,"No"),"")</f>
        <v/>
      </c>
    </row>
    <row r="366">
      <c r="K366">
        <f>IF($I366="No",COUNTIF($I$2:$I366,"No"),"")</f>
        <v/>
      </c>
    </row>
    <row r="367">
      <c r="K367">
        <f>IF($I367="No",COUNTIF($I$2:$I367,"No"),"")</f>
        <v/>
      </c>
    </row>
    <row r="368">
      <c r="K368">
        <f>IF($I368="No",COUNTIF($I$2:$I368,"No"),"")</f>
        <v/>
      </c>
    </row>
    <row r="369">
      <c r="K369">
        <f>IF($I369="No",COUNTIF($I$2:$I369,"No"),"")</f>
        <v/>
      </c>
    </row>
    <row r="370">
      <c r="K370">
        <f>IF($I370="No",COUNTIF($I$2:$I370,"No"),"")</f>
        <v/>
      </c>
    </row>
    <row r="371">
      <c r="K371">
        <f>IF($I371="No",COUNTIF($I$2:$I371,"No"),"")</f>
        <v/>
      </c>
    </row>
    <row r="372">
      <c r="K372">
        <f>IF($I372="No",COUNTIF($I$2:$I372,"No"),"")</f>
        <v/>
      </c>
    </row>
    <row r="373">
      <c r="K373">
        <f>IF($I373="No",COUNTIF($I$2:$I373,"No"),"")</f>
        <v/>
      </c>
    </row>
    <row r="374">
      <c r="K374">
        <f>IF($I374="No",COUNTIF($I$2:$I374,"No"),"")</f>
        <v/>
      </c>
    </row>
    <row r="375">
      <c r="K375">
        <f>IF($I375="No",COUNTIF($I$2:$I375,"No"),"")</f>
        <v/>
      </c>
    </row>
    <row r="376">
      <c r="K376">
        <f>IF($I376="No",COUNTIF($I$2:$I376,"No"),"")</f>
        <v/>
      </c>
    </row>
    <row r="377">
      <c r="K377">
        <f>IF($I377="No",COUNTIF($I$2:$I377,"No"),"")</f>
        <v/>
      </c>
    </row>
    <row r="378">
      <c r="K378">
        <f>IF($I378="No",COUNTIF($I$2:$I378,"No"),"")</f>
        <v/>
      </c>
    </row>
    <row r="379">
      <c r="K379">
        <f>IF($I379="No",COUNTIF($I$2:$I379,"No"),"")</f>
        <v/>
      </c>
    </row>
    <row r="380">
      <c r="K380">
        <f>IF($I380="No",COUNTIF($I$2:$I380,"No"),"")</f>
        <v/>
      </c>
    </row>
    <row r="381">
      <c r="K381">
        <f>IF($I381="No",COUNTIF($I$2:$I381,"No"),"")</f>
        <v/>
      </c>
    </row>
    <row r="382">
      <c r="K382">
        <f>IF($I382="No",COUNTIF($I$2:$I382,"No"),"")</f>
        <v/>
      </c>
    </row>
    <row r="383">
      <c r="K383">
        <f>IF($I383="No",COUNTIF($I$2:$I383,"No"),"")</f>
        <v/>
      </c>
    </row>
    <row r="384">
      <c r="K384">
        <f>IF($I384="No",COUNTIF($I$2:$I384,"No"),"")</f>
        <v/>
      </c>
    </row>
    <row r="385">
      <c r="K385">
        <f>IF($I385="No",COUNTIF($I$2:$I385,"No"),"")</f>
        <v/>
      </c>
    </row>
    <row r="386">
      <c r="K386">
        <f>IF($I386="No",COUNTIF($I$2:$I386,"No"),"")</f>
        <v/>
      </c>
    </row>
    <row r="387">
      <c r="K387">
        <f>IF($I387="No",COUNTIF($I$2:$I387,"No"),"")</f>
        <v/>
      </c>
    </row>
    <row r="388">
      <c r="K388">
        <f>IF($I388="No",COUNTIF($I$2:$I388,"No"),"")</f>
        <v/>
      </c>
    </row>
    <row r="389">
      <c r="K389">
        <f>IF($I389="No",COUNTIF($I$2:$I389,"No"),"")</f>
        <v/>
      </c>
    </row>
    <row r="390">
      <c r="K390">
        <f>IF($I390="No",COUNTIF($I$2:$I390,"No"),"")</f>
        <v/>
      </c>
    </row>
    <row r="391">
      <c r="K391">
        <f>IF($I391="No",COUNTIF($I$2:$I391,"No"),"")</f>
        <v/>
      </c>
    </row>
    <row r="392">
      <c r="K392">
        <f>IF($I392="No",COUNTIF($I$2:$I392,"No"),"")</f>
        <v/>
      </c>
    </row>
    <row r="393">
      <c r="K393">
        <f>IF($I393="No",COUNTIF($I$2:$I393,"No"),"")</f>
        <v/>
      </c>
    </row>
    <row r="394">
      <c r="K394">
        <f>IF($I394="No",COUNTIF($I$2:$I394,"No"),"")</f>
        <v/>
      </c>
    </row>
    <row r="395">
      <c r="K395">
        <f>IF($I395="No",COUNTIF($I$2:$I395,"No"),"")</f>
        <v/>
      </c>
    </row>
    <row r="396">
      <c r="K396">
        <f>IF($I396="No",COUNTIF($I$2:$I396,"No"),"")</f>
        <v/>
      </c>
    </row>
    <row r="397">
      <c r="K397">
        <f>IF($I397="No",COUNTIF($I$2:$I397,"No"),"")</f>
        <v/>
      </c>
    </row>
    <row r="398">
      <c r="K398">
        <f>IF($I398="No",COUNTIF($I$2:$I398,"No"),"")</f>
        <v/>
      </c>
    </row>
    <row r="399">
      <c r="K399">
        <f>IF($I399="No",COUNTIF($I$2:$I399,"No"),"")</f>
        <v/>
      </c>
    </row>
    <row r="400">
      <c r="K400">
        <f>IF($I400="No",COUNTIF($I$2:$I400,"No"),"")</f>
        <v/>
      </c>
    </row>
    <row r="401">
      <c r="K401">
        <f>IF($I401="No",COUNTIF($I$2:$I401,"No"),"")</f>
        <v/>
      </c>
    </row>
    <row r="402">
      <c r="K402">
        <f>IF($I402="No",COUNTIF($I$2:$I402,"No"),"")</f>
        <v/>
      </c>
    </row>
    <row r="403">
      <c r="K403">
        <f>IF($I403="No",COUNTIF($I$2:$I403,"No"),"")</f>
        <v/>
      </c>
    </row>
    <row r="404">
      <c r="K404">
        <f>IF($I404="No",COUNTIF($I$2:$I404,"No"),"")</f>
        <v/>
      </c>
    </row>
    <row r="405">
      <c r="K405">
        <f>IF($I405="No",COUNTIF($I$2:$I405,"No"),"")</f>
        <v/>
      </c>
    </row>
    <row r="406">
      <c r="K406">
        <f>IF($I406="No",COUNTIF($I$2:$I406,"No"),"")</f>
        <v/>
      </c>
    </row>
    <row r="407">
      <c r="K407">
        <f>IF($I407="No",COUNTIF($I$2:$I407,"No"),"")</f>
        <v/>
      </c>
    </row>
    <row r="408">
      <c r="K408">
        <f>IF($I408="No",COUNTIF($I$2:$I408,"No"),"")</f>
        <v/>
      </c>
    </row>
    <row r="409">
      <c r="K409">
        <f>IF($I409="No",COUNTIF($I$2:$I409,"No"),"")</f>
        <v/>
      </c>
    </row>
    <row r="410">
      <c r="K410">
        <f>IF($I410="No",COUNTIF($I$2:$I410,"No"),"")</f>
        <v/>
      </c>
    </row>
    <row r="411">
      <c r="K411">
        <f>IF($I411="No",COUNTIF($I$2:$I411,"No"),"")</f>
        <v/>
      </c>
    </row>
    <row r="412">
      <c r="K412">
        <f>IF($I412="No",COUNTIF($I$2:$I412,"No"),"")</f>
        <v/>
      </c>
    </row>
    <row r="413">
      <c r="K413">
        <f>IF($I413="No",COUNTIF($I$2:$I413,"No"),"")</f>
        <v/>
      </c>
    </row>
    <row r="414">
      <c r="K414">
        <f>IF($I414="No",COUNTIF($I$2:$I414,"No"),"")</f>
        <v/>
      </c>
    </row>
    <row r="415">
      <c r="K415">
        <f>IF($I415="No",COUNTIF($I$2:$I415,"No"),"")</f>
        <v/>
      </c>
    </row>
    <row r="416">
      <c r="K416">
        <f>IF($I416="No",COUNTIF($I$2:$I416,"No"),"")</f>
        <v/>
      </c>
    </row>
    <row r="417">
      <c r="K417">
        <f>IF($I417="No",COUNTIF($I$2:$I417,"No"),"")</f>
        <v/>
      </c>
    </row>
    <row r="418">
      <c r="K418">
        <f>IF($I418="No",COUNTIF($I$2:$I418,"No"),"")</f>
        <v/>
      </c>
    </row>
    <row r="419">
      <c r="K419">
        <f>IF($I419="No",COUNTIF($I$2:$I419,"No"),"")</f>
        <v/>
      </c>
    </row>
    <row r="420">
      <c r="K420">
        <f>IF($I420="No",COUNTIF($I$2:$I420,"No"),"")</f>
        <v/>
      </c>
    </row>
    <row r="421">
      <c r="K421">
        <f>IF($I421="No",COUNTIF($I$2:$I421,"No"),"")</f>
        <v/>
      </c>
    </row>
    <row r="422">
      <c r="K422">
        <f>IF($I422="No",COUNTIF($I$2:$I422,"No"),"")</f>
        <v/>
      </c>
    </row>
    <row r="423">
      <c r="K423">
        <f>IF($I423="No",COUNTIF($I$2:$I423,"No"),"")</f>
        <v/>
      </c>
    </row>
    <row r="424">
      <c r="K424">
        <f>IF($I424="No",COUNTIF($I$2:$I424,"No"),"")</f>
        <v/>
      </c>
    </row>
    <row r="425">
      <c r="K425">
        <f>IF($I425="No",COUNTIF($I$2:$I425,"No"),"")</f>
        <v/>
      </c>
    </row>
    <row r="426">
      <c r="K426">
        <f>IF($I426="No",COUNTIF($I$2:$I426,"No"),"")</f>
        <v/>
      </c>
    </row>
    <row r="427">
      <c r="K427">
        <f>IF($I427="No",COUNTIF($I$2:$I427,"No"),"")</f>
        <v/>
      </c>
    </row>
    <row r="428">
      <c r="K428">
        <f>IF($I428="No",COUNTIF($I$2:$I428,"No"),"")</f>
        <v/>
      </c>
    </row>
    <row r="429">
      <c r="K429">
        <f>IF($I429="No",COUNTIF($I$2:$I429,"No"),"")</f>
        <v/>
      </c>
    </row>
    <row r="430">
      <c r="K430">
        <f>IF($I430="No",COUNTIF($I$2:$I430,"No"),"")</f>
        <v/>
      </c>
    </row>
    <row r="431">
      <c r="K431">
        <f>IF($I431="No",COUNTIF($I$2:$I431,"No"),"")</f>
        <v/>
      </c>
    </row>
    <row r="432">
      <c r="K432">
        <f>IF($I432="No",COUNTIF($I$2:$I432,"No"),"")</f>
        <v/>
      </c>
    </row>
    <row r="433">
      <c r="K433">
        <f>IF($I433="No",COUNTIF($I$2:$I433,"No"),"")</f>
        <v/>
      </c>
    </row>
    <row r="434">
      <c r="K434">
        <f>IF($I434="No",COUNTIF($I$2:$I434,"No"),"")</f>
        <v/>
      </c>
    </row>
    <row r="435">
      <c r="K435">
        <f>IF($I435="No",COUNTIF($I$2:$I435,"No"),"")</f>
        <v/>
      </c>
    </row>
    <row r="436">
      <c r="K436">
        <f>IF($I436="No",COUNTIF($I$2:$I436,"No"),"")</f>
        <v/>
      </c>
    </row>
    <row r="437">
      <c r="K437">
        <f>IF($I437="No",COUNTIF($I$2:$I437,"No"),"")</f>
        <v/>
      </c>
    </row>
    <row r="438">
      <c r="K438">
        <f>IF($I438="No",COUNTIF($I$2:$I438,"No"),"")</f>
        <v/>
      </c>
    </row>
    <row r="439">
      <c r="K439">
        <f>IF($I439="No",COUNTIF($I$2:$I439,"No"),"")</f>
        <v/>
      </c>
    </row>
    <row r="440">
      <c r="K440">
        <f>IF($I440="No",COUNTIF($I$2:$I440,"No"),"")</f>
        <v/>
      </c>
    </row>
    <row r="441">
      <c r="K441">
        <f>IF($I441="No",COUNTIF($I$2:$I441,"No"),"")</f>
        <v/>
      </c>
    </row>
    <row r="442">
      <c r="K442">
        <f>IF($I442="No",COUNTIF($I$2:$I442,"No"),"")</f>
        <v/>
      </c>
    </row>
    <row r="443">
      <c r="K443">
        <f>IF($I443="No",COUNTIF($I$2:$I443,"No"),"")</f>
        <v/>
      </c>
    </row>
    <row r="444">
      <c r="K444">
        <f>IF($I444="No",COUNTIF($I$2:$I444,"No"),"")</f>
        <v/>
      </c>
    </row>
    <row r="445">
      <c r="K445">
        <f>IF($I445="No",COUNTIF($I$2:$I445,"No"),"")</f>
        <v/>
      </c>
    </row>
    <row r="446">
      <c r="K446">
        <f>IF($I446="No",COUNTIF($I$2:$I446,"No"),"")</f>
        <v/>
      </c>
    </row>
    <row r="447">
      <c r="K447">
        <f>IF($I447="No",COUNTIF($I$2:$I447,"No"),"")</f>
        <v/>
      </c>
    </row>
    <row r="448">
      <c r="K448">
        <f>IF($I448="No",COUNTIF($I$2:$I448,"No"),"")</f>
        <v/>
      </c>
    </row>
    <row r="449">
      <c r="K449">
        <f>IF($I449="No",COUNTIF($I$2:$I449,"No"),"")</f>
        <v/>
      </c>
    </row>
    <row r="450">
      <c r="K450">
        <f>IF($I450="No",COUNTIF($I$2:$I450,"No"),"")</f>
        <v/>
      </c>
    </row>
    <row r="451">
      <c r="K451">
        <f>IF($I451="No",COUNTIF($I$2:$I451,"No"),"")</f>
        <v/>
      </c>
    </row>
    <row r="452">
      <c r="K452">
        <f>IF($I452="No",COUNTIF($I$2:$I452,"No"),"")</f>
        <v/>
      </c>
    </row>
    <row r="453">
      <c r="K453">
        <f>IF($I453="No",COUNTIF($I$2:$I453,"No"),"")</f>
        <v/>
      </c>
    </row>
    <row r="454">
      <c r="K454">
        <f>IF($I454="No",COUNTIF($I$2:$I454,"No"),"")</f>
        <v/>
      </c>
    </row>
    <row r="455">
      <c r="K455">
        <f>IF($I455="No",COUNTIF($I$2:$I455,"No"),"")</f>
        <v/>
      </c>
    </row>
    <row r="456">
      <c r="K456">
        <f>IF($I456="No",COUNTIF($I$2:$I456,"No"),"")</f>
        <v/>
      </c>
    </row>
    <row r="457">
      <c r="K457">
        <f>IF($I457="No",COUNTIF($I$2:$I457,"No"),"")</f>
        <v/>
      </c>
    </row>
    <row r="458">
      <c r="K458">
        <f>IF($I458="No",COUNTIF($I$2:$I458,"No"),"")</f>
        <v/>
      </c>
    </row>
    <row r="459">
      <c r="K459">
        <f>IF($I459="No",COUNTIF($I$2:$I459,"No"),"")</f>
        <v/>
      </c>
    </row>
    <row r="460">
      <c r="K460">
        <f>IF($I460="No",COUNTIF($I$2:$I460,"No"),"")</f>
        <v/>
      </c>
    </row>
    <row r="461">
      <c r="K461">
        <f>IF($I461="No",COUNTIF($I$2:$I461,"No"),"")</f>
        <v/>
      </c>
    </row>
    <row r="462">
      <c r="K462">
        <f>IF($I462="No",COUNTIF($I$2:$I462,"No"),"")</f>
        <v/>
      </c>
    </row>
    <row r="463">
      <c r="K463">
        <f>IF($I463="No",COUNTIF($I$2:$I463,"No"),"")</f>
        <v/>
      </c>
    </row>
    <row r="464">
      <c r="K464">
        <f>IF($I464="No",COUNTIF($I$2:$I464,"No"),"")</f>
        <v/>
      </c>
    </row>
    <row r="465">
      <c r="K465">
        <f>IF($I465="No",COUNTIF($I$2:$I465,"No"),"")</f>
        <v/>
      </c>
    </row>
    <row r="466">
      <c r="K466">
        <f>IF($I466="No",COUNTIF($I$2:$I466,"No"),"")</f>
        <v/>
      </c>
    </row>
    <row r="467">
      <c r="K467">
        <f>IF($I467="No",COUNTIF($I$2:$I467,"No"),"")</f>
        <v/>
      </c>
    </row>
    <row r="468">
      <c r="K468">
        <f>IF($I468="No",COUNTIF($I$2:$I468,"No"),"")</f>
        <v/>
      </c>
    </row>
    <row r="469">
      <c r="K469">
        <f>IF($I469="No",COUNTIF($I$2:$I469,"No"),"")</f>
        <v/>
      </c>
    </row>
    <row r="470">
      <c r="K470">
        <f>IF($I470="No",COUNTIF($I$2:$I470,"No"),"")</f>
        <v/>
      </c>
    </row>
    <row r="471">
      <c r="K471">
        <f>IF($I471="No",COUNTIF($I$2:$I471,"No"),"")</f>
        <v/>
      </c>
    </row>
    <row r="472">
      <c r="K472">
        <f>IF($I472="No",COUNTIF($I$2:$I472,"No"),"")</f>
        <v/>
      </c>
    </row>
    <row r="473">
      <c r="K473">
        <f>IF($I473="No",COUNTIF($I$2:$I473,"No"),"")</f>
        <v/>
      </c>
    </row>
    <row r="474">
      <c r="K474">
        <f>IF($I474="No",COUNTIF($I$2:$I474,"No"),"")</f>
        <v/>
      </c>
    </row>
    <row r="475">
      <c r="K475">
        <f>IF($I475="No",COUNTIF($I$2:$I475,"No"),"")</f>
        <v/>
      </c>
    </row>
    <row r="476">
      <c r="K476">
        <f>IF($I476="No",COUNTIF($I$2:$I476,"No"),"")</f>
        <v/>
      </c>
    </row>
    <row r="477">
      <c r="K477">
        <f>IF($I477="No",COUNTIF($I$2:$I477,"No"),"")</f>
        <v/>
      </c>
    </row>
    <row r="478">
      <c r="K478">
        <f>IF($I478="No",COUNTIF($I$2:$I478,"No"),"")</f>
        <v/>
      </c>
    </row>
    <row r="479">
      <c r="K479">
        <f>IF($I479="No",COUNTIF($I$2:$I479,"No"),"")</f>
        <v/>
      </c>
    </row>
    <row r="480">
      <c r="K480">
        <f>IF($I480="No",COUNTIF($I$2:$I480,"No"),"")</f>
        <v/>
      </c>
    </row>
    <row r="481">
      <c r="K481">
        <f>IF($I481="No",COUNTIF($I$2:$I481,"No"),"")</f>
        <v/>
      </c>
    </row>
    <row r="482">
      <c r="K482">
        <f>IF($I482="No",COUNTIF($I$2:$I482,"No"),"")</f>
        <v/>
      </c>
    </row>
    <row r="483">
      <c r="K483">
        <f>IF($I483="No",COUNTIF($I$2:$I483,"No"),"")</f>
        <v/>
      </c>
    </row>
    <row r="484">
      <c r="K484">
        <f>IF($I484="No",COUNTIF($I$2:$I484,"No"),"")</f>
        <v/>
      </c>
    </row>
    <row r="485">
      <c r="K485">
        <f>IF($I485="No",COUNTIF($I$2:$I485,"No"),"")</f>
        <v/>
      </c>
    </row>
    <row r="486">
      <c r="K486">
        <f>IF($I486="No",COUNTIF($I$2:$I486,"No"),"")</f>
        <v/>
      </c>
    </row>
    <row r="487">
      <c r="K487">
        <f>IF($I487="No",COUNTIF($I$2:$I487,"No"),"")</f>
        <v/>
      </c>
    </row>
    <row r="488">
      <c r="K488">
        <f>IF($I488="No",COUNTIF($I$2:$I488,"No"),"")</f>
        <v/>
      </c>
    </row>
    <row r="489">
      <c r="K489">
        <f>IF($I489="No",COUNTIF($I$2:$I489,"No"),"")</f>
        <v/>
      </c>
    </row>
    <row r="490">
      <c r="K490">
        <f>IF($I490="No",COUNTIF($I$2:$I490,"No"),"")</f>
        <v/>
      </c>
    </row>
    <row r="491">
      <c r="K491">
        <f>IF($I491="No",COUNTIF($I$2:$I491,"No"),"")</f>
        <v/>
      </c>
    </row>
    <row r="492">
      <c r="K492">
        <f>IF($I492="No",COUNTIF($I$2:$I492,"No"),"")</f>
        <v/>
      </c>
    </row>
    <row r="493">
      <c r="K493">
        <f>IF($I493="No",COUNTIF($I$2:$I493,"No"),"")</f>
        <v/>
      </c>
    </row>
    <row r="494">
      <c r="K494">
        <f>IF($I494="No",COUNTIF($I$2:$I494,"No"),"")</f>
        <v/>
      </c>
    </row>
    <row r="495">
      <c r="K495">
        <f>IF($I495="No",COUNTIF($I$2:$I495,"No"),"")</f>
        <v/>
      </c>
    </row>
    <row r="496">
      <c r="K496">
        <f>IF($I496="No",COUNTIF($I$2:$I496,"No"),"")</f>
        <v/>
      </c>
    </row>
    <row r="497">
      <c r="K497">
        <f>IF($I497="No",COUNTIF($I$2:$I497,"No"),"")</f>
        <v/>
      </c>
    </row>
    <row r="498">
      <c r="K498">
        <f>IF($I498="No",COUNTIF($I$2:$I498,"No"),"")</f>
        <v/>
      </c>
    </row>
    <row r="499">
      <c r="K499">
        <f>IF($I499="No",COUNTIF($I$2:$I499,"No"),"")</f>
        <v/>
      </c>
    </row>
    <row r="500">
      <c r="K500">
        <f>IF($I500="No",COUNTIF($I$2:$I500,"No"),"")</f>
        <v/>
      </c>
    </row>
  </sheetData>
  <autoFilter ref="A1:K23"/>
  <conditionalFormatting sqref="H2:H500">
    <cfRule type="cellIs" priority="1" operator="equal" dxfId="5">
      <formula>"Ready"</formula>
    </cfRule>
    <cfRule type="cellIs" priority="2" operator="equal" dxfId="6">
      <formula>"Ready for QC"</formula>
    </cfRule>
    <cfRule type="cellIs" priority="3" operator="equal" dxfId="7">
      <formula>"In Progress"</formula>
    </cfRule>
    <cfRule type="cellIs" priority="4" operator="equal" dxfId="8">
      <formula>"Not Started"</formula>
    </cfRule>
  </conditionalFormatting>
  <conditionalFormatting sqref="I2:I500">
    <cfRule type="cellIs" priority="5" operator="equal" dxfId="0">
      <formula>"No"</formula>
    </cfRule>
  </conditionalFormatting>
  <dataValidations count="3">
    <dataValidation sqref="G2:G200" showDropDown="0" showInputMessage="0" showErrorMessage="0" allowBlank="0" errorTitle="Invalid entry" error="Please choose a value from the dropdown." type="list">
      <formula1>"Paint,Flooring,Appliance,Plumbing,Electrical,Cleaning,Damaged Fixture,None"</formula1>
    </dataValidation>
    <dataValidation sqref="H2:H200" showDropDown="0" showInputMessage="0" showErrorMessage="0" allowBlank="0" errorTitle="Invalid entry" error="Please choose a value from the dropdown." type="list">
      <formula1>"Not Started,In Progress,Ready for QC,Ready"</formula1>
    </dataValidation>
    <dataValidation sqref="I2:I200" showDropDown="0" showInputMessage="0" showErrorMessage="0" allowBlank="0" errorTitle="Invalid entry" error="Please choose a value from the dropdown." type="list">
      <formula1>"Yes,No,Pending"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J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  <col width="20" customWidth="1" min="8" max="8"/>
    <col width="40" customWidth="1" min="9" max="9"/>
    <col hidden="1" width="13" customWidth="1" min="10" max="10"/>
  </cols>
  <sheetData>
    <row r="1">
      <c r="A1" s="12" t="inlineStr">
        <is>
          <t>Unit</t>
        </is>
      </c>
      <c r="B1" s="12" t="inlineStr">
        <is>
          <t>Resident ID</t>
        </is>
      </c>
      <c r="C1" s="12" t="inlineStr">
        <is>
          <t>Lease End</t>
        </is>
      </c>
      <c r="D1" s="12" t="inlineStr">
        <is>
          <t>Monthly Rent</t>
        </is>
      </c>
      <c r="E1" s="12" t="inlineStr">
        <is>
          <t>Renewal Offer Sent</t>
        </is>
      </c>
      <c r="F1" s="12" t="inlineStr">
        <is>
          <t>Outreach Touches</t>
        </is>
      </c>
      <c r="G1" s="12" t="inlineStr">
        <is>
          <t>Intent</t>
        </is>
      </c>
      <c r="H1" s="12" t="inlineStr">
        <is>
          <t>Reason (if leaving)</t>
        </is>
      </c>
      <c r="I1" s="12" t="inlineStr">
        <is>
          <t>Notes</t>
        </is>
      </c>
      <c r="J1" s="47" t="inlineStr">
        <is>
          <t>_seq_outreach</t>
        </is>
      </c>
    </row>
    <row r="2">
      <c r="A2" s="16" t="inlineStr">
        <is>
          <t>A-101</t>
        </is>
      </c>
      <c r="B2" s="16" t="inlineStr">
        <is>
          <t>R-001</t>
        </is>
      </c>
      <c r="C2" s="14" t="n">
        <v>46326</v>
      </c>
      <c r="D2" s="49" t="n">
        <v>1249</v>
      </c>
      <c r="E2" s="16" t="inlineStr">
        <is>
          <t>Yes</t>
        </is>
      </c>
      <c r="F2" s="16" t="n">
        <v>3</v>
      </c>
      <c r="G2" s="13" t="inlineStr">
        <is>
          <t>Renewing</t>
        </is>
      </c>
      <c r="H2" s="13" t="inlineStr">
        <is>
          <t>N/A</t>
        </is>
      </c>
      <c r="I2" s="15" t="inlineStr">
        <is>
          <t>Signed 12-mo renewal; roommate staying</t>
        </is>
      </c>
      <c r="J2">
        <f>IF(OR($G2="Unknown",$G2="Undecided"),COUNTIFS($G$2:$G2,"Unknown")+COUNTIFS($G$2:$G2,"Undecided"),"")</f>
        <v/>
      </c>
    </row>
    <row r="3">
      <c r="A3" s="16" t="inlineStr">
        <is>
          <t>A-104</t>
        </is>
      </c>
      <c r="B3" s="16" t="inlineStr">
        <is>
          <t>R-002</t>
        </is>
      </c>
      <c r="C3" s="14" t="n">
        <v>46326</v>
      </c>
      <c r="D3" s="49" t="n">
        <v>1199</v>
      </c>
      <c r="E3" s="16" t="inlineStr">
        <is>
          <t>Yes</t>
        </is>
      </c>
      <c r="F3" s="16" t="n">
        <v>2</v>
      </c>
      <c r="G3" s="13" t="inlineStr">
        <is>
          <t>Undecided</t>
        </is>
      </c>
      <c r="H3" s="13" t="inlineStr">
        <is>
          <t>N/A</t>
        </is>
      </c>
      <c r="I3" s="15" t="inlineStr">
        <is>
          <t>Comparing nearby property; follow up 10/7</t>
        </is>
      </c>
      <c r="J3">
        <f>IF(OR($G3="Unknown",$G3="Undecided"),COUNTIFS($G$2:$G3,"Unknown")+COUNTIFS($G$2:$G3,"Undecided"),"")</f>
        <v/>
      </c>
    </row>
    <row r="4">
      <c r="A4" s="16" t="inlineStr">
        <is>
          <t>A-109</t>
        </is>
      </c>
      <c r="B4" s="16" t="inlineStr">
        <is>
          <t>R-003</t>
        </is>
      </c>
      <c r="C4" s="14" t="n">
        <v>46356</v>
      </c>
      <c r="D4" s="49" t="n">
        <v>1299</v>
      </c>
      <c r="E4" s="16" t="inlineStr">
        <is>
          <t>Yes</t>
        </is>
      </c>
      <c r="F4" s="16" t="n">
        <v>4</v>
      </c>
      <c r="G4" s="13" t="inlineStr">
        <is>
          <t>Renewing</t>
        </is>
      </c>
      <c r="H4" s="13" t="inlineStr">
        <is>
          <t>N/A</t>
        </is>
      </c>
      <c r="I4" s="15" t="inlineStr">
        <is>
          <t>Renewed after service recovery on AC issue</t>
        </is>
      </c>
      <c r="J4">
        <f>IF(OR($G4="Unknown",$G4="Undecided"),COUNTIFS($G$2:$G4,"Unknown")+COUNTIFS($G$2:$G4,"Undecided"),"")</f>
        <v/>
      </c>
    </row>
    <row r="5">
      <c r="A5" s="16" t="inlineStr">
        <is>
          <t>A-112</t>
        </is>
      </c>
      <c r="B5" s="16" t="inlineStr">
        <is>
          <t>R-004</t>
        </is>
      </c>
      <c r="C5" s="14" t="n">
        <v>46326</v>
      </c>
      <c r="D5" s="49" t="n">
        <v>1149</v>
      </c>
      <c r="E5" s="16" t="inlineStr">
        <is>
          <t>No</t>
        </is>
      </c>
      <c r="F5" s="16" t="n">
        <v>1</v>
      </c>
      <c r="G5" s="13" t="inlineStr">
        <is>
          <t>Unknown</t>
        </is>
      </c>
      <c r="H5" s="13" t="inlineStr">
        <is>
          <t>N/A</t>
        </is>
      </c>
      <c r="I5" s="15" t="inlineStr">
        <is>
          <t>No contact yet; priority outreach</t>
        </is>
      </c>
      <c r="J5">
        <f>IF(OR($G5="Unknown",$G5="Undecided"),COUNTIFS($G$2:$G5,"Unknown")+COUNTIFS($G$2:$G5,"Undecided"),"")</f>
        <v/>
      </c>
    </row>
    <row r="6">
      <c r="A6" s="16" t="inlineStr">
        <is>
          <t>A-115</t>
        </is>
      </c>
      <c r="B6" s="16" t="inlineStr">
        <is>
          <t>R-005</t>
        </is>
      </c>
      <c r="C6" s="14" t="n">
        <v>46356</v>
      </c>
      <c r="D6" s="49" t="n">
        <v>1349</v>
      </c>
      <c r="E6" s="16" t="inlineStr">
        <is>
          <t>Yes</t>
        </is>
      </c>
      <c r="F6" s="16" t="n">
        <v>2</v>
      </c>
      <c r="G6" s="13" t="inlineStr">
        <is>
          <t>Not Renewing</t>
        </is>
      </c>
      <c r="H6" s="13" t="inlineStr">
        <is>
          <t>Relocating</t>
        </is>
      </c>
      <c r="I6" s="15" t="inlineStr">
        <is>
          <t>Job transfer out of state</t>
        </is>
      </c>
      <c r="J6">
        <f>IF(OR($G6="Unknown",$G6="Undecided"),COUNTIFS($G$2:$G6,"Unknown")+COUNTIFS($G$2:$G6,"Undecided"),"")</f>
        <v/>
      </c>
    </row>
    <row r="7">
      <c r="A7" s="16" t="inlineStr">
        <is>
          <t>A-118</t>
        </is>
      </c>
      <c r="B7" s="16" t="inlineStr">
        <is>
          <t>R-006</t>
        </is>
      </c>
      <c r="C7" s="14" t="n">
        <v>46387</v>
      </c>
      <c r="D7" s="49" t="n">
        <v>1249</v>
      </c>
      <c r="E7" s="16" t="inlineStr">
        <is>
          <t>No</t>
        </is>
      </c>
      <c r="F7" s="16" t="n">
        <v>0</v>
      </c>
      <c r="G7" s="13" t="inlineStr">
        <is>
          <t>Unknown</t>
        </is>
      </c>
      <c r="H7" s="13" t="inlineStr">
        <is>
          <t>N/A</t>
        </is>
      </c>
      <c r="I7" s="15" t="inlineStr"/>
      <c r="J7">
        <f>IF(OR($G7="Unknown",$G7="Undecided"),COUNTIFS($G$2:$G7,"Unknown")+COUNTIFS($G$2:$G7,"Undecided"),"")</f>
        <v/>
      </c>
    </row>
    <row r="8">
      <c r="A8" s="16" t="inlineStr">
        <is>
          <t>A-122</t>
        </is>
      </c>
      <c r="B8" s="16" t="inlineStr">
        <is>
          <t>R-007</t>
        </is>
      </c>
      <c r="C8" s="14" t="n">
        <v>46326</v>
      </c>
      <c r="D8" s="49" t="n">
        <v>1199</v>
      </c>
      <c r="E8" s="16" t="inlineStr">
        <is>
          <t>Yes</t>
        </is>
      </c>
      <c r="F8" s="16" t="n">
        <v>5</v>
      </c>
      <c r="G8" s="13" t="inlineStr">
        <is>
          <t>Renewing</t>
        </is>
      </c>
      <c r="H8" s="13" t="inlineStr">
        <is>
          <t>N/A</t>
        </is>
      </c>
      <c r="I8" s="15" t="inlineStr">
        <is>
          <t>Long-term resident; requested same unit</t>
        </is>
      </c>
      <c r="J8">
        <f>IF(OR($G8="Unknown",$G8="Undecided"),COUNTIFS($G$2:$G8,"Unknown")+COUNTIFS($G$2:$G8,"Undecided"),"")</f>
        <v/>
      </c>
    </row>
    <row r="9">
      <c r="A9" s="16" t="inlineStr">
        <is>
          <t>A-130</t>
        </is>
      </c>
      <c r="B9" s="16" t="inlineStr">
        <is>
          <t>R-008</t>
        </is>
      </c>
      <c r="C9" s="14" t="n">
        <v>46356</v>
      </c>
      <c r="D9" s="49" t="n">
        <v>1099</v>
      </c>
      <c r="E9" s="16" t="inlineStr">
        <is>
          <t>Yes</t>
        </is>
      </c>
      <c r="F9" s="16" t="n">
        <v>3</v>
      </c>
      <c r="G9" s="13" t="inlineStr">
        <is>
          <t>Undecided</t>
        </is>
      </c>
      <c r="H9" s="13" t="inlineStr">
        <is>
          <t>N/A</t>
        </is>
      </c>
      <c r="I9" s="15" t="inlineStr">
        <is>
          <t>Price-sensitive; reviewing concession options</t>
        </is>
      </c>
      <c r="J9">
        <f>IF(OR($G9="Unknown",$G9="Undecided"),COUNTIFS($G$2:$G9,"Unknown")+COUNTIFS($G$2:$G9,"Undecided"),"")</f>
        <v/>
      </c>
    </row>
    <row r="10">
      <c r="A10" s="16" t="inlineStr">
        <is>
          <t>B-201</t>
        </is>
      </c>
      <c r="B10" s="16" t="inlineStr">
        <is>
          <t>R-009</t>
        </is>
      </c>
      <c r="C10" s="14" t="n">
        <v>46326</v>
      </c>
      <c r="D10" s="49" t="n">
        <v>1299</v>
      </c>
      <c r="E10" s="16" t="inlineStr">
        <is>
          <t>Yes</t>
        </is>
      </c>
      <c r="F10" s="16" t="n">
        <v>2</v>
      </c>
      <c r="G10" s="13" t="inlineStr">
        <is>
          <t>Renewing</t>
        </is>
      </c>
      <c r="H10" s="13" t="inlineStr">
        <is>
          <t>N/A</t>
        </is>
      </c>
      <c r="I10" s="15" t="inlineStr"/>
      <c r="J10">
        <f>IF(OR($G10="Unknown",$G10="Undecided"),COUNTIFS($G$2:$G10,"Unknown")+COUNTIFS($G$2:$G10,"Undecided"),"")</f>
        <v/>
      </c>
    </row>
    <row r="11">
      <c r="A11" s="16" t="inlineStr">
        <is>
          <t>B-205</t>
        </is>
      </c>
      <c r="B11" s="16" t="inlineStr">
        <is>
          <t>R-010</t>
        </is>
      </c>
      <c r="C11" s="14" t="n">
        <v>46356</v>
      </c>
      <c r="D11" s="49" t="n">
        <v>1249</v>
      </c>
      <c r="E11" s="16" t="inlineStr">
        <is>
          <t>Yes</t>
        </is>
      </c>
      <c r="F11" s="16" t="n">
        <v>4</v>
      </c>
      <c r="G11" s="13" t="inlineStr">
        <is>
          <t>Not Renewing</t>
        </is>
      </c>
      <c r="H11" s="13" t="inlineStr">
        <is>
          <t>Roommate Change</t>
        </is>
      </c>
      <c r="I11" s="15" t="inlineStr">
        <is>
          <t>Roommate graduating; can't cover solo</t>
        </is>
      </c>
      <c r="J11">
        <f>IF(OR($G11="Unknown",$G11="Undecided"),COUNTIFS($G$2:$G11,"Unknown")+COUNTIFS($G$2:$G11,"Undecided"),"")</f>
        <v/>
      </c>
    </row>
    <row r="12">
      <c r="A12" s="16" t="inlineStr">
        <is>
          <t>B-207</t>
        </is>
      </c>
      <c r="B12" s="16" t="inlineStr">
        <is>
          <t>R-011</t>
        </is>
      </c>
      <c r="C12" s="14" t="n">
        <v>46326</v>
      </c>
      <c r="D12" s="49" t="n">
        <v>1349</v>
      </c>
      <c r="E12" s="16" t="inlineStr">
        <is>
          <t>Yes</t>
        </is>
      </c>
      <c r="F12" s="16" t="n">
        <v>3</v>
      </c>
      <c r="G12" s="13" t="inlineStr">
        <is>
          <t>Renewing</t>
        </is>
      </c>
      <c r="H12" s="13" t="inlineStr">
        <is>
          <t>N/A</t>
        </is>
      </c>
      <c r="I12" s="15" t="inlineStr"/>
      <c r="J12">
        <f>IF(OR($G12="Unknown",$G12="Undecided"),COUNTIFS($G$2:$G12,"Unknown")+COUNTIFS($G$2:$G12,"Undecided"),"")</f>
        <v/>
      </c>
    </row>
    <row r="13">
      <c r="A13" s="16" t="inlineStr">
        <is>
          <t>B-212</t>
        </is>
      </c>
      <c r="B13" s="16" t="inlineStr">
        <is>
          <t>R-012</t>
        </is>
      </c>
      <c r="C13" s="14" t="n">
        <v>46387</v>
      </c>
      <c r="D13" s="49" t="n">
        <v>1199</v>
      </c>
      <c r="E13" s="16" t="inlineStr">
        <is>
          <t>No</t>
        </is>
      </c>
      <c r="F13" s="16" t="n">
        <v>1</v>
      </c>
      <c r="G13" s="13" t="inlineStr">
        <is>
          <t>Unknown</t>
        </is>
      </c>
      <c r="H13" s="13" t="inlineStr">
        <is>
          <t>N/A</t>
        </is>
      </c>
      <c r="I13" s="15" t="inlineStr"/>
      <c r="J13">
        <f>IF(OR($G13="Unknown",$G13="Undecided"),COUNTIFS($G$2:$G13,"Unknown")+COUNTIFS($G$2:$G13,"Undecided"),"")</f>
        <v/>
      </c>
    </row>
    <row r="14">
      <c r="A14" s="16" t="inlineStr">
        <is>
          <t>B-214</t>
        </is>
      </c>
      <c r="B14" s="16" t="inlineStr">
        <is>
          <t>R-013</t>
        </is>
      </c>
      <c r="C14" s="14" t="n">
        <v>46326</v>
      </c>
      <c r="D14" s="49" t="n">
        <v>1299</v>
      </c>
      <c r="E14" s="16" t="inlineStr">
        <is>
          <t>Yes</t>
        </is>
      </c>
      <c r="F14" s="16" t="n">
        <v>6</v>
      </c>
      <c r="G14" s="13" t="inlineStr">
        <is>
          <t>Renewing</t>
        </is>
      </c>
      <c r="H14" s="13" t="inlineStr">
        <is>
          <t>N/A</t>
        </is>
      </c>
      <c r="I14" s="15" t="inlineStr">
        <is>
          <t>Recovered after repeated HVAC issues; personal follow-ups</t>
        </is>
      </c>
      <c r="J14">
        <f>IF(OR($G14="Unknown",$G14="Undecided"),COUNTIFS($G$2:$G14,"Unknown")+COUNTIFS($G$2:$G14,"Undecided"),"")</f>
        <v/>
      </c>
    </row>
    <row r="15">
      <c r="A15" s="16" t="inlineStr">
        <is>
          <t>B-218</t>
        </is>
      </c>
      <c r="B15" s="16" t="inlineStr">
        <is>
          <t>R-014</t>
        </is>
      </c>
      <c r="C15" s="14" t="n">
        <v>46356</v>
      </c>
      <c r="D15" s="49" t="n">
        <v>1149</v>
      </c>
      <c r="E15" s="16" t="inlineStr">
        <is>
          <t>Yes</t>
        </is>
      </c>
      <c r="F15" s="16" t="n">
        <v>2</v>
      </c>
      <c r="G15" s="13" t="inlineStr">
        <is>
          <t>Undecided</t>
        </is>
      </c>
      <c r="H15" s="13" t="inlineStr">
        <is>
          <t>N/A</t>
        </is>
      </c>
      <c r="I15" s="15" t="inlineStr">
        <is>
          <t>Noise concerns; offered unit transfer info</t>
        </is>
      </c>
      <c r="J15">
        <f>IF(OR($G15="Unknown",$G15="Undecided"),COUNTIFS($G$2:$G15,"Unknown")+COUNTIFS($G$2:$G15,"Undecided"),"")</f>
        <v/>
      </c>
    </row>
    <row r="16">
      <c r="A16" s="16" t="inlineStr">
        <is>
          <t>B-220</t>
        </is>
      </c>
      <c r="B16" s="16" t="inlineStr">
        <is>
          <t>R-015</t>
        </is>
      </c>
      <c r="C16" s="14" t="n">
        <v>46326</v>
      </c>
      <c r="D16" s="49" t="n">
        <v>1249</v>
      </c>
      <c r="E16" s="16" t="inlineStr">
        <is>
          <t>Yes</t>
        </is>
      </c>
      <c r="F16" s="16" t="n">
        <v>3</v>
      </c>
      <c r="G16" s="13" t="inlineStr">
        <is>
          <t>Not Renewing</t>
        </is>
      </c>
      <c r="H16" s="13" t="inlineStr">
        <is>
          <t>Price</t>
        </is>
      </c>
      <c r="I16" s="15" t="inlineStr">
        <is>
          <t>Found cheaper option nearby</t>
        </is>
      </c>
      <c r="J16">
        <f>IF(OR($G16="Unknown",$G16="Undecided"),COUNTIFS($G$2:$G16,"Unknown")+COUNTIFS($G$2:$G16,"Undecided"),"")</f>
        <v/>
      </c>
    </row>
    <row r="17">
      <c r="A17" s="16" t="inlineStr">
        <is>
          <t>C-301</t>
        </is>
      </c>
      <c r="B17" s="16" t="inlineStr">
        <is>
          <t>R-016</t>
        </is>
      </c>
      <c r="C17" s="14" t="n">
        <v>46356</v>
      </c>
      <c r="D17" s="49" t="n">
        <v>1399</v>
      </c>
      <c r="E17" s="16" t="inlineStr">
        <is>
          <t>Yes</t>
        </is>
      </c>
      <c r="F17" s="16" t="n">
        <v>2</v>
      </c>
      <c r="G17" s="13" t="inlineStr">
        <is>
          <t>Renewing</t>
        </is>
      </c>
      <c r="H17" s="13" t="inlineStr">
        <is>
          <t>N/A</t>
        </is>
      </c>
      <c r="I17" s="15" t="inlineStr"/>
      <c r="J17">
        <f>IF(OR($G17="Unknown",$G17="Undecided"),COUNTIFS($G$2:$G17,"Unknown")+COUNTIFS($G$2:$G17,"Undecided"),"")</f>
        <v/>
      </c>
    </row>
    <row r="18">
      <c r="A18" s="16" t="inlineStr">
        <is>
          <t>C-305</t>
        </is>
      </c>
      <c r="B18" s="16" t="inlineStr">
        <is>
          <t>R-017</t>
        </is>
      </c>
      <c r="C18" s="14" t="n">
        <v>46326</v>
      </c>
      <c r="D18" s="49" t="n">
        <v>1299</v>
      </c>
      <c r="E18" s="16" t="inlineStr">
        <is>
          <t>Yes</t>
        </is>
      </c>
      <c r="F18" s="16" t="n">
        <v>4</v>
      </c>
      <c r="G18" s="13" t="inlineStr">
        <is>
          <t>Undecided</t>
        </is>
      </c>
      <c r="H18" s="13" t="inlineStr">
        <is>
          <t>N/A</t>
        </is>
      </c>
      <c r="I18" s="15" t="inlineStr">
        <is>
          <t>Service experience concerns; manager follow-up scheduled</t>
        </is>
      </c>
      <c r="J18">
        <f>IF(OR($G18="Unknown",$G18="Undecided"),COUNTIFS($G$2:$G18,"Unknown")+COUNTIFS($G$2:$G18,"Undecided"),"")</f>
        <v/>
      </c>
    </row>
    <row r="19">
      <c r="A19" s="16" t="inlineStr">
        <is>
          <t>C-308</t>
        </is>
      </c>
      <c r="B19" s="16" t="inlineStr">
        <is>
          <t>R-018</t>
        </is>
      </c>
      <c r="C19" s="14" t="n">
        <v>46387</v>
      </c>
      <c r="D19" s="49" t="n">
        <v>1249</v>
      </c>
      <c r="E19" s="16" t="inlineStr">
        <is>
          <t>No</t>
        </is>
      </c>
      <c r="F19" s="16" t="n">
        <v>0</v>
      </c>
      <c r="G19" s="13" t="inlineStr">
        <is>
          <t>Unknown</t>
        </is>
      </c>
      <c r="H19" s="13" t="inlineStr">
        <is>
          <t>N/A</t>
        </is>
      </c>
      <c r="I19" s="15" t="inlineStr"/>
      <c r="J19">
        <f>IF(OR($G19="Unknown",$G19="Undecided"),COUNTIFS($G$2:$G19,"Unknown")+COUNTIFS($G$2:$G19,"Undecided"),"")</f>
        <v/>
      </c>
    </row>
    <row r="20">
      <c r="A20" s="16" t="inlineStr">
        <is>
          <t>C-309</t>
        </is>
      </c>
      <c r="B20" s="16" t="inlineStr">
        <is>
          <t>R-019</t>
        </is>
      </c>
      <c r="C20" s="14" t="n">
        <v>46326</v>
      </c>
      <c r="D20" s="49" t="n">
        <v>1199</v>
      </c>
      <c r="E20" s="16" t="inlineStr">
        <is>
          <t>Yes</t>
        </is>
      </c>
      <c r="F20" s="16" t="n">
        <v>3</v>
      </c>
      <c r="G20" s="13" t="inlineStr">
        <is>
          <t>Renewing</t>
        </is>
      </c>
      <c r="H20" s="13" t="inlineStr">
        <is>
          <t>N/A</t>
        </is>
      </c>
      <c r="I20" s="15" t="inlineStr"/>
      <c r="J20">
        <f>IF(OR($G20="Unknown",$G20="Undecided"),COUNTIFS($G$2:$G20,"Unknown")+COUNTIFS($G$2:$G20,"Undecided"),"")</f>
        <v/>
      </c>
    </row>
    <row r="21">
      <c r="A21" s="16" t="inlineStr">
        <is>
          <t>C-315</t>
        </is>
      </c>
      <c r="B21" s="16" t="inlineStr">
        <is>
          <t>R-020</t>
        </is>
      </c>
      <c r="C21" s="14" t="n">
        <v>46356</v>
      </c>
      <c r="D21" s="49" t="n">
        <v>1349</v>
      </c>
      <c r="E21" s="16" t="inlineStr">
        <is>
          <t>Yes</t>
        </is>
      </c>
      <c r="F21" s="16" t="n">
        <v>2</v>
      </c>
      <c r="G21" s="13" t="inlineStr">
        <is>
          <t>Not Renewing</t>
        </is>
      </c>
      <c r="H21" s="13" t="inlineStr">
        <is>
          <t>Service Experience</t>
        </is>
      </c>
      <c r="I21" s="15" t="inlineStr">
        <is>
          <t>Multiple maintenance delays; exit interview offered</t>
        </is>
      </c>
      <c r="J21">
        <f>IF(OR($G21="Unknown",$G21="Undecided"),COUNTIFS($G$2:$G21,"Unknown")+COUNTIFS($G$2:$G21,"Undecided"),"")</f>
        <v/>
      </c>
    </row>
    <row r="22">
      <c r="A22" s="16" t="inlineStr">
        <is>
          <t>C-318</t>
        </is>
      </c>
      <c r="B22" s="16" t="inlineStr">
        <is>
          <t>R-021</t>
        </is>
      </c>
      <c r="C22" s="14" t="n">
        <v>46326</v>
      </c>
      <c r="D22" s="49" t="n">
        <v>1299</v>
      </c>
      <c r="E22" s="16" t="inlineStr">
        <is>
          <t>Yes</t>
        </is>
      </c>
      <c r="F22" s="16" t="n">
        <v>5</v>
      </c>
      <c r="G22" s="13" t="inlineStr">
        <is>
          <t>Renewing</t>
        </is>
      </c>
      <c r="H22" s="13" t="inlineStr">
        <is>
          <t>N/A</t>
        </is>
      </c>
      <c r="I22" s="15" t="inlineStr"/>
      <c r="J22">
        <f>IF(OR($G22="Unknown",$G22="Undecided"),COUNTIFS($G$2:$G22,"Unknown")+COUNTIFS($G$2:$G22,"Undecided"),"")</f>
        <v/>
      </c>
    </row>
    <row r="23">
      <c r="A23" s="16" t="inlineStr">
        <is>
          <t>C-322</t>
        </is>
      </c>
      <c r="B23" s="16" t="inlineStr">
        <is>
          <t>R-022</t>
        </is>
      </c>
      <c r="C23" s="14" t="n">
        <v>46356</v>
      </c>
      <c r="D23" s="49" t="n">
        <v>1449</v>
      </c>
      <c r="E23" s="16" t="inlineStr">
        <is>
          <t>Yes</t>
        </is>
      </c>
      <c r="F23" s="16" t="n">
        <v>1</v>
      </c>
      <c r="G23" s="13" t="inlineStr">
        <is>
          <t>Unknown</t>
        </is>
      </c>
      <c r="H23" s="13" t="inlineStr">
        <is>
          <t>N/A</t>
        </is>
      </c>
      <c r="I23" s="15" t="inlineStr">
        <is>
          <t>New outreach started</t>
        </is>
      </c>
      <c r="J23">
        <f>IF(OR($G23="Unknown",$G23="Undecided"),COUNTIFS($G$2:$G23,"Unknown")+COUNTIFS($G$2:$G23,"Undecided"),"")</f>
        <v/>
      </c>
    </row>
    <row r="24">
      <c r="A24" s="16" t="inlineStr">
        <is>
          <t>D-102</t>
        </is>
      </c>
      <c r="B24" s="16" t="inlineStr">
        <is>
          <t>R-023</t>
        </is>
      </c>
      <c r="C24" s="14" t="n">
        <v>46326</v>
      </c>
      <c r="D24" s="49" t="n">
        <v>1149</v>
      </c>
      <c r="E24" s="16" t="inlineStr">
        <is>
          <t>Yes</t>
        </is>
      </c>
      <c r="F24" s="16" t="n">
        <v>3</v>
      </c>
      <c r="G24" s="13" t="inlineStr">
        <is>
          <t>Renewing</t>
        </is>
      </c>
      <c r="H24" s="13" t="inlineStr">
        <is>
          <t>N/A</t>
        </is>
      </c>
      <c r="I24" s="15" t="inlineStr"/>
      <c r="J24">
        <f>IF(OR($G24="Unknown",$G24="Undecided"),COUNTIFS($G$2:$G24,"Unknown")+COUNTIFS($G$2:$G24,"Undecided"),"")</f>
        <v/>
      </c>
    </row>
    <row r="25">
      <c r="A25" s="16" t="inlineStr">
        <is>
          <t>D-105</t>
        </is>
      </c>
      <c r="B25" s="16" t="inlineStr">
        <is>
          <t>R-024</t>
        </is>
      </c>
      <c r="C25" s="14" t="n">
        <v>46387</v>
      </c>
      <c r="D25" s="49" t="n">
        <v>1199</v>
      </c>
      <c r="E25" s="16" t="inlineStr">
        <is>
          <t>No</t>
        </is>
      </c>
      <c r="F25" s="16" t="n">
        <v>0</v>
      </c>
      <c r="G25" s="13" t="inlineStr">
        <is>
          <t>Unknown</t>
        </is>
      </c>
      <c r="H25" s="13" t="inlineStr">
        <is>
          <t>N/A</t>
        </is>
      </c>
      <c r="I25" s="15" t="inlineStr"/>
      <c r="J25">
        <f>IF(OR($G25="Unknown",$G25="Undecided"),COUNTIFS($G$2:$G25,"Unknown")+COUNTIFS($G$2:$G25,"Undecided"),"")</f>
        <v/>
      </c>
    </row>
    <row r="26">
      <c r="J26">
        <f>IF(OR($G26="Unknown",$G26="Undecided"),COUNTIFS($G$2:$G26,"Unknown")+COUNTIFS($G$2:$G26,"Undecided"),"")</f>
        <v/>
      </c>
    </row>
    <row r="27">
      <c r="J27">
        <f>IF(OR($G27="Unknown",$G27="Undecided"),COUNTIFS($G$2:$G27,"Unknown")+COUNTIFS($G$2:$G27,"Undecided"),"")</f>
        <v/>
      </c>
    </row>
    <row r="28">
      <c r="J28">
        <f>IF(OR($G28="Unknown",$G28="Undecided"),COUNTIFS($G$2:$G28,"Unknown")+COUNTIFS($G$2:$G28,"Undecided"),"")</f>
        <v/>
      </c>
    </row>
    <row r="29">
      <c r="J29">
        <f>IF(OR($G29="Unknown",$G29="Undecided"),COUNTIFS($G$2:$G29,"Unknown")+COUNTIFS($G$2:$G29,"Undecided"),"")</f>
        <v/>
      </c>
    </row>
    <row r="30">
      <c r="J30">
        <f>IF(OR($G30="Unknown",$G30="Undecided"),COUNTIFS($G$2:$G30,"Unknown")+COUNTIFS($G$2:$G30,"Undecided"),"")</f>
        <v/>
      </c>
    </row>
    <row r="31">
      <c r="J31">
        <f>IF(OR($G31="Unknown",$G31="Undecided"),COUNTIFS($G$2:$G31,"Unknown")+COUNTIFS($G$2:$G31,"Undecided"),"")</f>
        <v/>
      </c>
    </row>
    <row r="32">
      <c r="J32">
        <f>IF(OR($G32="Unknown",$G32="Undecided"),COUNTIFS($G$2:$G32,"Unknown")+COUNTIFS($G$2:$G32,"Undecided"),"")</f>
        <v/>
      </c>
    </row>
    <row r="33">
      <c r="J33">
        <f>IF(OR($G33="Unknown",$G33="Undecided"),COUNTIFS($G$2:$G33,"Unknown")+COUNTIFS($G$2:$G33,"Undecided"),"")</f>
        <v/>
      </c>
    </row>
    <row r="34">
      <c r="J34">
        <f>IF(OR($G34="Unknown",$G34="Undecided"),COUNTIFS($G$2:$G34,"Unknown")+COUNTIFS($G$2:$G34,"Undecided"),"")</f>
        <v/>
      </c>
    </row>
    <row r="35">
      <c r="J35">
        <f>IF(OR($G35="Unknown",$G35="Undecided"),COUNTIFS($G$2:$G35,"Unknown")+COUNTIFS($G$2:$G35,"Undecided"),"")</f>
        <v/>
      </c>
    </row>
    <row r="36">
      <c r="J36">
        <f>IF(OR($G36="Unknown",$G36="Undecided"),COUNTIFS($G$2:$G36,"Unknown")+COUNTIFS($G$2:$G36,"Undecided"),"")</f>
        <v/>
      </c>
    </row>
    <row r="37">
      <c r="J37">
        <f>IF(OR($G37="Unknown",$G37="Undecided"),COUNTIFS($G$2:$G37,"Unknown")+COUNTIFS($G$2:$G37,"Undecided"),"")</f>
        <v/>
      </c>
    </row>
    <row r="38">
      <c r="J38">
        <f>IF(OR($G38="Unknown",$G38="Undecided"),COUNTIFS($G$2:$G38,"Unknown")+COUNTIFS($G$2:$G38,"Undecided"),"")</f>
        <v/>
      </c>
    </row>
    <row r="39">
      <c r="J39">
        <f>IF(OR($G39="Unknown",$G39="Undecided"),COUNTIFS($G$2:$G39,"Unknown")+COUNTIFS($G$2:$G39,"Undecided"),"")</f>
        <v/>
      </c>
    </row>
    <row r="40">
      <c r="J40">
        <f>IF(OR($G40="Unknown",$G40="Undecided"),COUNTIFS($G$2:$G40,"Unknown")+COUNTIFS($G$2:$G40,"Undecided"),"")</f>
        <v/>
      </c>
    </row>
    <row r="41">
      <c r="J41">
        <f>IF(OR($G41="Unknown",$G41="Undecided"),COUNTIFS($G$2:$G41,"Unknown")+COUNTIFS($G$2:$G41,"Undecided"),"")</f>
        <v/>
      </c>
    </row>
    <row r="42">
      <c r="J42">
        <f>IF(OR($G42="Unknown",$G42="Undecided"),COUNTIFS($G$2:$G42,"Unknown")+COUNTIFS($G$2:$G42,"Undecided"),"")</f>
        <v/>
      </c>
    </row>
    <row r="43">
      <c r="J43">
        <f>IF(OR($G43="Unknown",$G43="Undecided"),COUNTIFS($G$2:$G43,"Unknown")+COUNTIFS($G$2:$G43,"Undecided"),"")</f>
        <v/>
      </c>
    </row>
    <row r="44">
      <c r="J44">
        <f>IF(OR($G44="Unknown",$G44="Undecided"),COUNTIFS($G$2:$G44,"Unknown")+COUNTIFS($G$2:$G44,"Undecided"),"")</f>
        <v/>
      </c>
    </row>
    <row r="45">
      <c r="J45">
        <f>IF(OR($G45="Unknown",$G45="Undecided"),COUNTIFS($G$2:$G45,"Unknown")+COUNTIFS($G$2:$G45,"Undecided"),"")</f>
        <v/>
      </c>
    </row>
    <row r="46">
      <c r="J46">
        <f>IF(OR($G46="Unknown",$G46="Undecided"),COUNTIFS($G$2:$G46,"Unknown")+COUNTIFS($G$2:$G46,"Undecided"),"")</f>
        <v/>
      </c>
    </row>
    <row r="47">
      <c r="J47">
        <f>IF(OR($G47="Unknown",$G47="Undecided"),COUNTIFS($G$2:$G47,"Unknown")+COUNTIFS($G$2:$G47,"Undecided"),"")</f>
        <v/>
      </c>
    </row>
    <row r="48">
      <c r="J48">
        <f>IF(OR($G48="Unknown",$G48="Undecided"),COUNTIFS($G$2:$G48,"Unknown")+COUNTIFS($G$2:$G48,"Undecided"),"")</f>
        <v/>
      </c>
    </row>
    <row r="49">
      <c r="J49">
        <f>IF(OR($G49="Unknown",$G49="Undecided"),COUNTIFS($G$2:$G49,"Unknown")+COUNTIFS($G$2:$G49,"Undecided"),"")</f>
        <v/>
      </c>
    </row>
    <row r="50">
      <c r="J50">
        <f>IF(OR($G50="Unknown",$G50="Undecided"),COUNTIFS($G$2:$G50,"Unknown")+COUNTIFS($G$2:$G50,"Undecided"),"")</f>
        <v/>
      </c>
    </row>
    <row r="51">
      <c r="J51">
        <f>IF(OR($G51="Unknown",$G51="Undecided"),COUNTIFS($G$2:$G51,"Unknown")+COUNTIFS($G$2:$G51,"Undecided"),"")</f>
        <v/>
      </c>
    </row>
    <row r="52">
      <c r="J52">
        <f>IF(OR($G52="Unknown",$G52="Undecided"),COUNTIFS($G$2:$G52,"Unknown")+COUNTIFS($G$2:$G52,"Undecided"),"")</f>
        <v/>
      </c>
    </row>
    <row r="53">
      <c r="J53">
        <f>IF(OR($G53="Unknown",$G53="Undecided"),COUNTIFS($G$2:$G53,"Unknown")+COUNTIFS($G$2:$G53,"Undecided"),"")</f>
        <v/>
      </c>
    </row>
    <row r="54">
      <c r="J54">
        <f>IF(OR($G54="Unknown",$G54="Undecided"),COUNTIFS($G$2:$G54,"Unknown")+COUNTIFS($G$2:$G54,"Undecided"),"")</f>
        <v/>
      </c>
    </row>
    <row r="55">
      <c r="J55">
        <f>IF(OR($G55="Unknown",$G55="Undecided"),COUNTIFS($G$2:$G55,"Unknown")+COUNTIFS($G$2:$G55,"Undecided"),"")</f>
        <v/>
      </c>
    </row>
    <row r="56">
      <c r="J56">
        <f>IF(OR($G56="Unknown",$G56="Undecided"),COUNTIFS($G$2:$G56,"Unknown")+COUNTIFS($G$2:$G56,"Undecided"),"")</f>
        <v/>
      </c>
    </row>
    <row r="57">
      <c r="J57">
        <f>IF(OR($G57="Unknown",$G57="Undecided"),COUNTIFS($G$2:$G57,"Unknown")+COUNTIFS($G$2:$G57,"Undecided"),"")</f>
        <v/>
      </c>
    </row>
    <row r="58">
      <c r="J58">
        <f>IF(OR($G58="Unknown",$G58="Undecided"),COUNTIFS($G$2:$G58,"Unknown")+COUNTIFS($G$2:$G58,"Undecided"),"")</f>
        <v/>
      </c>
    </row>
    <row r="59">
      <c r="J59">
        <f>IF(OR($G59="Unknown",$G59="Undecided"),COUNTIFS($G$2:$G59,"Unknown")+COUNTIFS($G$2:$G59,"Undecided"),"")</f>
        <v/>
      </c>
    </row>
    <row r="60">
      <c r="J60">
        <f>IF(OR($G60="Unknown",$G60="Undecided"),COUNTIFS($G$2:$G60,"Unknown")+COUNTIFS($G$2:$G60,"Undecided"),"")</f>
        <v/>
      </c>
    </row>
    <row r="61">
      <c r="J61">
        <f>IF(OR($G61="Unknown",$G61="Undecided"),COUNTIFS($G$2:$G61,"Unknown")+COUNTIFS($G$2:$G61,"Undecided"),"")</f>
        <v/>
      </c>
    </row>
    <row r="62">
      <c r="J62">
        <f>IF(OR($G62="Unknown",$G62="Undecided"),COUNTIFS($G$2:$G62,"Unknown")+COUNTIFS($G$2:$G62,"Undecided"),"")</f>
        <v/>
      </c>
    </row>
    <row r="63">
      <c r="J63">
        <f>IF(OR($G63="Unknown",$G63="Undecided"),COUNTIFS($G$2:$G63,"Unknown")+COUNTIFS($G$2:$G63,"Undecided"),"")</f>
        <v/>
      </c>
    </row>
    <row r="64">
      <c r="J64">
        <f>IF(OR($G64="Unknown",$G64="Undecided"),COUNTIFS($G$2:$G64,"Unknown")+COUNTIFS($G$2:$G64,"Undecided"),"")</f>
        <v/>
      </c>
    </row>
    <row r="65">
      <c r="J65">
        <f>IF(OR($G65="Unknown",$G65="Undecided"),COUNTIFS($G$2:$G65,"Unknown")+COUNTIFS($G$2:$G65,"Undecided"),"")</f>
        <v/>
      </c>
    </row>
    <row r="66">
      <c r="J66">
        <f>IF(OR($G66="Unknown",$G66="Undecided"),COUNTIFS($G$2:$G66,"Unknown")+COUNTIFS($G$2:$G66,"Undecided"),"")</f>
        <v/>
      </c>
    </row>
    <row r="67">
      <c r="J67">
        <f>IF(OR($G67="Unknown",$G67="Undecided"),COUNTIFS($G$2:$G67,"Unknown")+COUNTIFS($G$2:$G67,"Undecided"),"")</f>
        <v/>
      </c>
    </row>
    <row r="68">
      <c r="J68">
        <f>IF(OR($G68="Unknown",$G68="Undecided"),COUNTIFS($G$2:$G68,"Unknown")+COUNTIFS($G$2:$G68,"Undecided"),"")</f>
        <v/>
      </c>
    </row>
    <row r="69">
      <c r="J69">
        <f>IF(OR($G69="Unknown",$G69="Undecided"),COUNTIFS($G$2:$G69,"Unknown")+COUNTIFS($G$2:$G69,"Undecided"),"")</f>
        <v/>
      </c>
    </row>
    <row r="70">
      <c r="J70">
        <f>IF(OR($G70="Unknown",$G70="Undecided"),COUNTIFS($G$2:$G70,"Unknown")+COUNTIFS($G$2:$G70,"Undecided"),"")</f>
        <v/>
      </c>
    </row>
    <row r="71">
      <c r="J71">
        <f>IF(OR($G71="Unknown",$G71="Undecided"),COUNTIFS($G$2:$G71,"Unknown")+COUNTIFS($G$2:$G71,"Undecided"),"")</f>
        <v/>
      </c>
    </row>
    <row r="72">
      <c r="J72">
        <f>IF(OR($G72="Unknown",$G72="Undecided"),COUNTIFS($G$2:$G72,"Unknown")+COUNTIFS($G$2:$G72,"Undecided"),"")</f>
        <v/>
      </c>
    </row>
    <row r="73">
      <c r="J73">
        <f>IF(OR($G73="Unknown",$G73="Undecided"),COUNTIFS($G$2:$G73,"Unknown")+COUNTIFS($G$2:$G73,"Undecided"),"")</f>
        <v/>
      </c>
    </row>
    <row r="74">
      <c r="J74">
        <f>IF(OR($G74="Unknown",$G74="Undecided"),COUNTIFS($G$2:$G74,"Unknown")+COUNTIFS($G$2:$G74,"Undecided"),"")</f>
        <v/>
      </c>
    </row>
    <row r="75">
      <c r="J75">
        <f>IF(OR($G75="Unknown",$G75="Undecided"),COUNTIFS($G$2:$G75,"Unknown")+COUNTIFS($G$2:$G75,"Undecided"),"")</f>
        <v/>
      </c>
    </row>
    <row r="76">
      <c r="J76">
        <f>IF(OR($G76="Unknown",$G76="Undecided"),COUNTIFS($G$2:$G76,"Unknown")+COUNTIFS($G$2:$G76,"Undecided"),"")</f>
        <v/>
      </c>
    </row>
    <row r="77">
      <c r="J77">
        <f>IF(OR($G77="Unknown",$G77="Undecided"),COUNTIFS($G$2:$G77,"Unknown")+COUNTIFS($G$2:$G77,"Undecided"),"")</f>
        <v/>
      </c>
    </row>
    <row r="78">
      <c r="J78">
        <f>IF(OR($G78="Unknown",$G78="Undecided"),COUNTIFS($G$2:$G78,"Unknown")+COUNTIFS($G$2:$G78,"Undecided"),"")</f>
        <v/>
      </c>
    </row>
    <row r="79">
      <c r="J79">
        <f>IF(OR($G79="Unknown",$G79="Undecided"),COUNTIFS($G$2:$G79,"Unknown")+COUNTIFS($G$2:$G79,"Undecided"),"")</f>
        <v/>
      </c>
    </row>
    <row r="80">
      <c r="J80">
        <f>IF(OR($G80="Unknown",$G80="Undecided"),COUNTIFS($G$2:$G80,"Unknown")+COUNTIFS($G$2:$G80,"Undecided"),"")</f>
        <v/>
      </c>
    </row>
    <row r="81">
      <c r="J81">
        <f>IF(OR($G81="Unknown",$G81="Undecided"),COUNTIFS($G$2:$G81,"Unknown")+COUNTIFS($G$2:$G81,"Undecided"),"")</f>
        <v/>
      </c>
    </row>
    <row r="82">
      <c r="J82">
        <f>IF(OR($G82="Unknown",$G82="Undecided"),COUNTIFS($G$2:$G82,"Unknown")+COUNTIFS($G$2:$G82,"Undecided"),"")</f>
        <v/>
      </c>
    </row>
    <row r="83">
      <c r="J83">
        <f>IF(OR($G83="Unknown",$G83="Undecided"),COUNTIFS($G$2:$G83,"Unknown")+COUNTIFS($G$2:$G83,"Undecided"),"")</f>
        <v/>
      </c>
    </row>
    <row r="84">
      <c r="J84">
        <f>IF(OR($G84="Unknown",$G84="Undecided"),COUNTIFS($G$2:$G84,"Unknown")+COUNTIFS($G$2:$G84,"Undecided"),"")</f>
        <v/>
      </c>
    </row>
    <row r="85">
      <c r="J85">
        <f>IF(OR($G85="Unknown",$G85="Undecided"),COUNTIFS($G$2:$G85,"Unknown")+COUNTIFS($G$2:$G85,"Undecided"),"")</f>
        <v/>
      </c>
    </row>
    <row r="86">
      <c r="J86">
        <f>IF(OR($G86="Unknown",$G86="Undecided"),COUNTIFS($G$2:$G86,"Unknown")+COUNTIFS($G$2:$G86,"Undecided"),"")</f>
        <v/>
      </c>
    </row>
    <row r="87">
      <c r="J87">
        <f>IF(OR($G87="Unknown",$G87="Undecided"),COUNTIFS($G$2:$G87,"Unknown")+COUNTIFS($G$2:$G87,"Undecided"),"")</f>
        <v/>
      </c>
    </row>
    <row r="88">
      <c r="J88">
        <f>IF(OR($G88="Unknown",$G88="Undecided"),COUNTIFS($G$2:$G88,"Unknown")+COUNTIFS($G$2:$G88,"Undecided"),"")</f>
        <v/>
      </c>
    </row>
    <row r="89">
      <c r="J89">
        <f>IF(OR($G89="Unknown",$G89="Undecided"),COUNTIFS($G$2:$G89,"Unknown")+COUNTIFS($G$2:$G89,"Undecided"),"")</f>
        <v/>
      </c>
    </row>
    <row r="90">
      <c r="J90">
        <f>IF(OR($G90="Unknown",$G90="Undecided"),COUNTIFS($G$2:$G90,"Unknown")+COUNTIFS($G$2:$G90,"Undecided"),"")</f>
        <v/>
      </c>
    </row>
    <row r="91">
      <c r="J91">
        <f>IF(OR($G91="Unknown",$G91="Undecided"),COUNTIFS($G$2:$G91,"Unknown")+COUNTIFS($G$2:$G91,"Undecided"),"")</f>
        <v/>
      </c>
    </row>
    <row r="92">
      <c r="J92">
        <f>IF(OR($G92="Unknown",$G92="Undecided"),COUNTIFS($G$2:$G92,"Unknown")+COUNTIFS($G$2:$G92,"Undecided"),"")</f>
        <v/>
      </c>
    </row>
    <row r="93">
      <c r="J93">
        <f>IF(OR($G93="Unknown",$G93="Undecided"),COUNTIFS($G$2:$G93,"Unknown")+COUNTIFS($G$2:$G93,"Undecided"),"")</f>
        <v/>
      </c>
    </row>
    <row r="94">
      <c r="J94">
        <f>IF(OR($G94="Unknown",$G94="Undecided"),COUNTIFS($G$2:$G94,"Unknown")+COUNTIFS($G$2:$G94,"Undecided"),"")</f>
        <v/>
      </c>
    </row>
    <row r="95">
      <c r="J95">
        <f>IF(OR($G95="Unknown",$G95="Undecided"),COUNTIFS($G$2:$G95,"Unknown")+COUNTIFS($G$2:$G95,"Undecided"),"")</f>
        <v/>
      </c>
    </row>
    <row r="96">
      <c r="J96">
        <f>IF(OR($G96="Unknown",$G96="Undecided"),COUNTIFS($G$2:$G96,"Unknown")+COUNTIFS($G$2:$G96,"Undecided"),"")</f>
        <v/>
      </c>
    </row>
    <row r="97">
      <c r="J97">
        <f>IF(OR($G97="Unknown",$G97="Undecided"),COUNTIFS($G$2:$G97,"Unknown")+COUNTIFS($G$2:$G97,"Undecided"),"")</f>
        <v/>
      </c>
    </row>
    <row r="98">
      <c r="J98">
        <f>IF(OR($G98="Unknown",$G98="Undecided"),COUNTIFS($G$2:$G98,"Unknown")+COUNTIFS($G$2:$G98,"Undecided"),"")</f>
        <v/>
      </c>
    </row>
    <row r="99">
      <c r="J99">
        <f>IF(OR($G99="Unknown",$G99="Undecided"),COUNTIFS($G$2:$G99,"Unknown")+COUNTIFS($G$2:$G99,"Undecided"),"")</f>
        <v/>
      </c>
    </row>
    <row r="100">
      <c r="J100">
        <f>IF(OR($G100="Unknown",$G100="Undecided"),COUNTIFS($G$2:$G100,"Unknown")+COUNTIFS($G$2:$G100,"Undecided"),"")</f>
        <v/>
      </c>
    </row>
    <row r="101">
      <c r="J101">
        <f>IF(OR($G101="Unknown",$G101="Undecided"),COUNTIFS($G$2:$G101,"Unknown")+COUNTIFS($G$2:$G101,"Undecided"),"")</f>
        <v/>
      </c>
    </row>
    <row r="102">
      <c r="J102">
        <f>IF(OR($G102="Unknown",$G102="Undecided"),COUNTIFS($G$2:$G102,"Unknown")+COUNTIFS($G$2:$G102,"Undecided"),"")</f>
        <v/>
      </c>
    </row>
    <row r="103">
      <c r="J103">
        <f>IF(OR($G103="Unknown",$G103="Undecided"),COUNTIFS($G$2:$G103,"Unknown")+COUNTIFS($G$2:$G103,"Undecided"),"")</f>
        <v/>
      </c>
    </row>
    <row r="104">
      <c r="J104">
        <f>IF(OR($G104="Unknown",$G104="Undecided"),COUNTIFS($G$2:$G104,"Unknown")+COUNTIFS($G$2:$G104,"Undecided"),"")</f>
        <v/>
      </c>
    </row>
    <row r="105">
      <c r="J105">
        <f>IF(OR($G105="Unknown",$G105="Undecided"),COUNTIFS($G$2:$G105,"Unknown")+COUNTIFS($G$2:$G105,"Undecided"),"")</f>
        <v/>
      </c>
    </row>
    <row r="106">
      <c r="J106">
        <f>IF(OR($G106="Unknown",$G106="Undecided"),COUNTIFS($G$2:$G106,"Unknown")+COUNTIFS($G$2:$G106,"Undecided"),"")</f>
        <v/>
      </c>
    </row>
    <row r="107">
      <c r="J107">
        <f>IF(OR($G107="Unknown",$G107="Undecided"),COUNTIFS($G$2:$G107,"Unknown")+COUNTIFS($G$2:$G107,"Undecided"),"")</f>
        <v/>
      </c>
    </row>
    <row r="108">
      <c r="J108">
        <f>IF(OR($G108="Unknown",$G108="Undecided"),COUNTIFS($G$2:$G108,"Unknown")+COUNTIFS($G$2:$G108,"Undecided"),"")</f>
        <v/>
      </c>
    </row>
    <row r="109">
      <c r="J109">
        <f>IF(OR($G109="Unknown",$G109="Undecided"),COUNTIFS($G$2:$G109,"Unknown")+COUNTIFS($G$2:$G109,"Undecided"),"")</f>
        <v/>
      </c>
    </row>
    <row r="110">
      <c r="J110">
        <f>IF(OR($G110="Unknown",$G110="Undecided"),COUNTIFS($G$2:$G110,"Unknown")+COUNTIFS($G$2:$G110,"Undecided"),"")</f>
        <v/>
      </c>
    </row>
    <row r="111">
      <c r="J111">
        <f>IF(OR($G111="Unknown",$G111="Undecided"),COUNTIFS($G$2:$G111,"Unknown")+COUNTIFS($G$2:$G111,"Undecided"),"")</f>
        <v/>
      </c>
    </row>
    <row r="112">
      <c r="J112">
        <f>IF(OR($G112="Unknown",$G112="Undecided"),COUNTIFS($G$2:$G112,"Unknown")+COUNTIFS($G$2:$G112,"Undecided"),"")</f>
        <v/>
      </c>
    </row>
    <row r="113">
      <c r="J113">
        <f>IF(OR($G113="Unknown",$G113="Undecided"),COUNTIFS($G$2:$G113,"Unknown")+COUNTIFS($G$2:$G113,"Undecided"),"")</f>
        <v/>
      </c>
    </row>
    <row r="114">
      <c r="J114">
        <f>IF(OR($G114="Unknown",$G114="Undecided"),COUNTIFS($G$2:$G114,"Unknown")+COUNTIFS($G$2:$G114,"Undecided"),"")</f>
        <v/>
      </c>
    </row>
    <row r="115">
      <c r="J115">
        <f>IF(OR($G115="Unknown",$G115="Undecided"),COUNTIFS($G$2:$G115,"Unknown")+COUNTIFS($G$2:$G115,"Undecided"),"")</f>
        <v/>
      </c>
    </row>
    <row r="116">
      <c r="J116">
        <f>IF(OR($G116="Unknown",$G116="Undecided"),COUNTIFS($G$2:$G116,"Unknown")+COUNTIFS($G$2:$G116,"Undecided"),"")</f>
        <v/>
      </c>
    </row>
    <row r="117">
      <c r="J117">
        <f>IF(OR($G117="Unknown",$G117="Undecided"),COUNTIFS($G$2:$G117,"Unknown")+COUNTIFS($G$2:$G117,"Undecided"),"")</f>
        <v/>
      </c>
    </row>
    <row r="118">
      <c r="J118">
        <f>IF(OR($G118="Unknown",$G118="Undecided"),COUNTIFS($G$2:$G118,"Unknown")+COUNTIFS($G$2:$G118,"Undecided"),"")</f>
        <v/>
      </c>
    </row>
    <row r="119">
      <c r="J119">
        <f>IF(OR($G119="Unknown",$G119="Undecided"),COUNTIFS($G$2:$G119,"Unknown")+COUNTIFS($G$2:$G119,"Undecided"),"")</f>
        <v/>
      </c>
    </row>
    <row r="120">
      <c r="J120">
        <f>IF(OR($G120="Unknown",$G120="Undecided"),COUNTIFS($G$2:$G120,"Unknown")+COUNTIFS($G$2:$G120,"Undecided"),"")</f>
        <v/>
      </c>
    </row>
    <row r="121">
      <c r="J121">
        <f>IF(OR($G121="Unknown",$G121="Undecided"),COUNTIFS($G$2:$G121,"Unknown")+COUNTIFS($G$2:$G121,"Undecided"),"")</f>
        <v/>
      </c>
    </row>
    <row r="122">
      <c r="J122">
        <f>IF(OR($G122="Unknown",$G122="Undecided"),COUNTIFS($G$2:$G122,"Unknown")+COUNTIFS($G$2:$G122,"Undecided"),"")</f>
        <v/>
      </c>
    </row>
    <row r="123">
      <c r="J123">
        <f>IF(OR($G123="Unknown",$G123="Undecided"),COUNTIFS($G$2:$G123,"Unknown")+COUNTIFS($G$2:$G123,"Undecided"),"")</f>
        <v/>
      </c>
    </row>
    <row r="124">
      <c r="J124">
        <f>IF(OR($G124="Unknown",$G124="Undecided"),COUNTIFS($G$2:$G124,"Unknown")+COUNTIFS($G$2:$G124,"Undecided"),"")</f>
        <v/>
      </c>
    </row>
    <row r="125">
      <c r="J125">
        <f>IF(OR($G125="Unknown",$G125="Undecided"),COUNTIFS($G$2:$G125,"Unknown")+COUNTIFS($G$2:$G125,"Undecided"),"")</f>
        <v/>
      </c>
    </row>
    <row r="126">
      <c r="J126">
        <f>IF(OR($G126="Unknown",$G126="Undecided"),COUNTIFS($G$2:$G126,"Unknown")+COUNTIFS($G$2:$G126,"Undecided"),"")</f>
        <v/>
      </c>
    </row>
    <row r="127">
      <c r="J127">
        <f>IF(OR($G127="Unknown",$G127="Undecided"),COUNTIFS($G$2:$G127,"Unknown")+COUNTIFS($G$2:$G127,"Undecided"),"")</f>
        <v/>
      </c>
    </row>
    <row r="128">
      <c r="J128">
        <f>IF(OR($G128="Unknown",$G128="Undecided"),COUNTIFS($G$2:$G128,"Unknown")+COUNTIFS($G$2:$G128,"Undecided"),"")</f>
        <v/>
      </c>
    </row>
    <row r="129">
      <c r="J129">
        <f>IF(OR($G129="Unknown",$G129="Undecided"),COUNTIFS($G$2:$G129,"Unknown")+COUNTIFS($G$2:$G129,"Undecided"),"")</f>
        <v/>
      </c>
    </row>
    <row r="130">
      <c r="J130">
        <f>IF(OR($G130="Unknown",$G130="Undecided"),COUNTIFS($G$2:$G130,"Unknown")+COUNTIFS($G$2:$G130,"Undecided"),"")</f>
        <v/>
      </c>
    </row>
    <row r="131">
      <c r="J131">
        <f>IF(OR($G131="Unknown",$G131="Undecided"),COUNTIFS($G$2:$G131,"Unknown")+COUNTIFS($G$2:$G131,"Undecided"),"")</f>
        <v/>
      </c>
    </row>
    <row r="132">
      <c r="J132">
        <f>IF(OR($G132="Unknown",$G132="Undecided"),COUNTIFS($G$2:$G132,"Unknown")+COUNTIFS($G$2:$G132,"Undecided"),"")</f>
        <v/>
      </c>
    </row>
    <row r="133">
      <c r="J133">
        <f>IF(OR($G133="Unknown",$G133="Undecided"),COUNTIFS($G$2:$G133,"Unknown")+COUNTIFS($G$2:$G133,"Undecided"),"")</f>
        <v/>
      </c>
    </row>
    <row r="134">
      <c r="J134">
        <f>IF(OR($G134="Unknown",$G134="Undecided"),COUNTIFS($G$2:$G134,"Unknown")+COUNTIFS($G$2:$G134,"Undecided"),"")</f>
        <v/>
      </c>
    </row>
    <row r="135">
      <c r="J135">
        <f>IF(OR($G135="Unknown",$G135="Undecided"),COUNTIFS($G$2:$G135,"Unknown")+COUNTIFS($G$2:$G135,"Undecided"),"")</f>
        <v/>
      </c>
    </row>
    <row r="136">
      <c r="J136">
        <f>IF(OR($G136="Unknown",$G136="Undecided"),COUNTIFS($G$2:$G136,"Unknown")+COUNTIFS($G$2:$G136,"Undecided"),"")</f>
        <v/>
      </c>
    </row>
    <row r="137">
      <c r="J137">
        <f>IF(OR($G137="Unknown",$G137="Undecided"),COUNTIFS($G$2:$G137,"Unknown")+COUNTIFS($G$2:$G137,"Undecided"),"")</f>
        <v/>
      </c>
    </row>
    <row r="138">
      <c r="J138">
        <f>IF(OR($G138="Unknown",$G138="Undecided"),COUNTIFS($G$2:$G138,"Unknown")+COUNTIFS($G$2:$G138,"Undecided"),"")</f>
        <v/>
      </c>
    </row>
    <row r="139">
      <c r="J139">
        <f>IF(OR($G139="Unknown",$G139="Undecided"),COUNTIFS($G$2:$G139,"Unknown")+COUNTIFS($G$2:$G139,"Undecided"),"")</f>
        <v/>
      </c>
    </row>
    <row r="140">
      <c r="J140">
        <f>IF(OR($G140="Unknown",$G140="Undecided"),COUNTIFS($G$2:$G140,"Unknown")+COUNTIFS($G$2:$G140,"Undecided"),"")</f>
        <v/>
      </c>
    </row>
    <row r="141">
      <c r="J141">
        <f>IF(OR($G141="Unknown",$G141="Undecided"),COUNTIFS($G$2:$G141,"Unknown")+COUNTIFS($G$2:$G141,"Undecided"),"")</f>
        <v/>
      </c>
    </row>
    <row r="142">
      <c r="J142">
        <f>IF(OR($G142="Unknown",$G142="Undecided"),COUNTIFS($G$2:$G142,"Unknown")+COUNTIFS($G$2:$G142,"Undecided"),"")</f>
        <v/>
      </c>
    </row>
    <row r="143">
      <c r="J143">
        <f>IF(OR($G143="Unknown",$G143="Undecided"),COUNTIFS($G$2:$G143,"Unknown")+COUNTIFS($G$2:$G143,"Undecided"),"")</f>
        <v/>
      </c>
    </row>
    <row r="144">
      <c r="J144">
        <f>IF(OR($G144="Unknown",$G144="Undecided"),COUNTIFS($G$2:$G144,"Unknown")+COUNTIFS($G$2:$G144,"Undecided"),"")</f>
        <v/>
      </c>
    </row>
    <row r="145">
      <c r="J145">
        <f>IF(OR($G145="Unknown",$G145="Undecided"),COUNTIFS($G$2:$G145,"Unknown")+COUNTIFS($G$2:$G145,"Undecided"),"")</f>
        <v/>
      </c>
    </row>
    <row r="146">
      <c r="J146">
        <f>IF(OR($G146="Unknown",$G146="Undecided"),COUNTIFS($G$2:$G146,"Unknown")+COUNTIFS($G$2:$G146,"Undecided"),"")</f>
        <v/>
      </c>
    </row>
    <row r="147">
      <c r="J147">
        <f>IF(OR($G147="Unknown",$G147="Undecided"),COUNTIFS($G$2:$G147,"Unknown")+COUNTIFS($G$2:$G147,"Undecided"),"")</f>
        <v/>
      </c>
    </row>
    <row r="148">
      <c r="J148">
        <f>IF(OR($G148="Unknown",$G148="Undecided"),COUNTIFS($G$2:$G148,"Unknown")+COUNTIFS($G$2:$G148,"Undecided"),"")</f>
        <v/>
      </c>
    </row>
    <row r="149">
      <c r="J149">
        <f>IF(OR($G149="Unknown",$G149="Undecided"),COUNTIFS($G$2:$G149,"Unknown")+COUNTIFS($G$2:$G149,"Undecided"),"")</f>
        <v/>
      </c>
    </row>
    <row r="150">
      <c r="J150">
        <f>IF(OR($G150="Unknown",$G150="Undecided"),COUNTIFS($G$2:$G150,"Unknown")+COUNTIFS($G$2:$G150,"Undecided"),"")</f>
        <v/>
      </c>
    </row>
    <row r="151">
      <c r="J151">
        <f>IF(OR($G151="Unknown",$G151="Undecided"),COUNTIFS($G$2:$G151,"Unknown")+COUNTIFS($G$2:$G151,"Undecided"),"")</f>
        <v/>
      </c>
    </row>
    <row r="152">
      <c r="J152">
        <f>IF(OR($G152="Unknown",$G152="Undecided"),COUNTIFS($G$2:$G152,"Unknown")+COUNTIFS($G$2:$G152,"Undecided"),"")</f>
        <v/>
      </c>
    </row>
    <row r="153">
      <c r="J153">
        <f>IF(OR($G153="Unknown",$G153="Undecided"),COUNTIFS($G$2:$G153,"Unknown")+COUNTIFS($G$2:$G153,"Undecided"),"")</f>
        <v/>
      </c>
    </row>
    <row r="154">
      <c r="J154">
        <f>IF(OR($G154="Unknown",$G154="Undecided"),COUNTIFS($G$2:$G154,"Unknown")+COUNTIFS($G$2:$G154,"Undecided"),"")</f>
        <v/>
      </c>
    </row>
    <row r="155">
      <c r="J155">
        <f>IF(OR($G155="Unknown",$G155="Undecided"),COUNTIFS($G$2:$G155,"Unknown")+COUNTIFS($G$2:$G155,"Undecided"),"")</f>
        <v/>
      </c>
    </row>
    <row r="156">
      <c r="J156">
        <f>IF(OR($G156="Unknown",$G156="Undecided"),COUNTIFS($G$2:$G156,"Unknown")+COUNTIFS($G$2:$G156,"Undecided"),"")</f>
        <v/>
      </c>
    </row>
    <row r="157">
      <c r="J157">
        <f>IF(OR($G157="Unknown",$G157="Undecided"),COUNTIFS($G$2:$G157,"Unknown")+COUNTIFS($G$2:$G157,"Undecided"),"")</f>
        <v/>
      </c>
    </row>
    <row r="158">
      <c r="J158">
        <f>IF(OR($G158="Unknown",$G158="Undecided"),COUNTIFS($G$2:$G158,"Unknown")+COUNTIFS($G$2:$G158,"Undecided"),"")</f>
        <v/>
      </c>
    </row>
    <row r="159">
      <c r="J159">
        <f>IF(OR($G159="Unknown",$G159="Undecided"),COUNTIFS($G$2:$G159,"Unknown")+COUNTIFS($G$2:$G159,"Undecided"),"")</f>
        <v/>
      </c>
    </row>
    <row r="160">
      <c r="J160">
        <f>IF(OR($G160="Unknown",$G160="Undecided"),COUNTIFS($G$2:$G160,"Unknown")+COUNTIFS($G$2:$G160,"Undecided"),"")</f>
        <v/>
      </c>
    </row>
    <row r="161">
      <c r="J161">
        <f>IF(OR($G161="Unknown",$G161="Undecided"),COUNTIFS($G$2:$G161,"Unknown")+COUNTIFS($G$2:$G161,"Undecided"),"")</f>
        <v/>
      </c>
    </row>
    <row r="162">
      <c r="J162">
        <f>IF(OR($G162="Unknown",$G162="Undecided"),COUNTIFS($G$2:$G162,"Unknown")+COUNTIFS($G$2:$G162,"Undecided"),"")</f>
        <v/>
      </c>
    </row>
    <row r="163">
      <c r="J163">
        <f>IF(OR($G163="Unknown",$G163="Undecided"),COUNTIFS($G$2:$G163,"Unknown")+COUNTIFS($G$2:$G163,"Undecided"),"")</f>
        <v/>
      </c>
    </row>
    <row r="164">
      <c r="J164">
        <f>IF(OR($G164="Unknown",$G164="Undecided"),COUNTIFS($G$2:$G164,"Unknown")+COUNTIFS($G$2:$G164,"Undecided"),"")</f>
        <v/>
      </c>
    </row>
    <row r="165">
      <c r="J165">
        <f>IF(OR($G165="Unknown",$G165="Undecided"),COUNTIFS($G$2:$G165,"Unknown")+COUNTIFS($G$2:$G165,"Undecided"),"")</f>
        <v/>
      </c>
    </row>
    <row r="166">
      <c r="J166">
        <f>IF(OR($G166="Unknown",$G166="Undecided"),COUNTIFS($G$2:$G166,"Unknown")+COUNTIFS($G$2:$G166,"Undecided"),"")</f>
        <v/>
      </c>
    </row>
    <row r="167">
      <c r="J167">
        <f>IF(OR($G167="Unknown",$G167="Undecided"),COUNTIFS($G$2:$G167,"Unknown")+COUNTIFS($G$2:$G167,"Undecided"),"")</f>
        <v/>
      </c>
    </row>
    <row r="168">
      <c r="J168">
        <f>IF(OR($G168="Unknown",$G168="Undecided"),COUNTIFS($G$2:$G168,"Unknown")+COUNTIFS($G$2:$G168,"Undecided"),"")</f>
        <v/>
      </c>
    </row>
    <row r="169">
      <c r="J169">
        <f>IF(OR($G169="Unknown",$G169="Undecided"),COUNTIFS($G$2:$G169,"Unknown")+COUNTIFS($G$2:$G169,"Undecided"),"")</f>
        <v/>
      </c>
    </row>
    <row r="170">
      <c r="J170">
        <f>IF(OR($G170="Unknown",$G170="Undecided"),COUNTIFS($G$2:$G170,"Unknown")+COUNTIFS($G$2:$G170,"Undecided"),"")</f>
        <v/>
      </c>
    </row>
    <row r="171">
      <c r="J171">
        <f>IF(OR($G171="Unknown",$G171="Undecided"),COUNTIFS($G$2:$G171,"Unknown")+COUNTIFS($G$2:$G171,"Undecided"),"")</f>
        <v/>
      </c>
    </row>
    <row r="172">
      <c r="J172">
        <f>IF(OR($G172="Unknown",$G172="Undecided"),COUNTIFS($G$2:$G172,"Unknown")+COUNTIFS($G$2:$G172,"Undecided"),"")</f>
        <v/>
      </c>
    </row>
    <row r="173">
      <c r="J173">
        <f>IF(OR($G173="Unknown",$G173="Undecided"),COUNTIFS($G$2:$G173,"Unknown")+COUNTIFS($G$2:$G173,"Undecided"),"")</f>
        <v/>
      </c>
    </row>
    <row r="174">
      <c r="J174">
        <f>IF(OR($G174="Unknown",$G174="Undecided"),COUNTIFS($G$2:$G174,"Unknown")+COUNTIFS($G$2:$G174,"Undecided"),"")</f>
        <v/>
      </c>
    </row>
    <row r="175">
      <c r="J175">
        <f>IF(OR($G175="Unknown",$G175="Undecided"),COUNTIFS($G$2:$G175,"Unknown")+COUNTIFS($G$2:$G175,"Undecided"),"")</f>
        <v/>
      </c>
    </row>
    <row r="176">
      <c r="J176">
        <f>IF(OR($G176="Unknown",$G176="Undecided"),COUNTIFS($G$2:$G176,"Unknown")+COUNTIFS($G$2:$G176,"Undecided"),"")</f>
        <v/>
      </c>
    </row>
    <row r="177">
      <c r="J177">
        <f>IF(OR($G177="Unknown",$G177="Undecided"),COUNTIFS($G$2:$G177,"Unknown")+COUNTIFS($G$2:$G177,"Undecided"),"")</f>
        <v/>
      </c>
    </row>
    <row r="178">
      <c r="J178">
        <f>IF(OR($G178="Unknown",$G178="Undecided"),COUNTIFS($G$2:$G178,"Unknown")+COUNTIFS($G$2:$G178,"Undecided"),"")</f>
        <v/>
      </c>
    </row>
    <row r="179">
      <c r="J179">
        <f>IF(OR($G179="Unknown",$G179="Undecided"),COUNTIFS($G$2:$G179,"Unknown")+COUNTIFS($G$2:$G179,"Undecided"),"")</f>
        <v/>
      </c>
    </row>
    <row r="180">
      <c r="J180">
        <f>IF(OR($G180="Unknown",$G180="Undecided"),COUNTIFS($G$2:$G180,"Unknown")+COUNTIFS($G$2:$G180,"Undecided"),"")</f>
        <v/>
      </c>
    </row>
    <row r="181">
      <c r="J181">
        <f>IF(OR($G181="Unknown",$G181="Undecided"),COUNTIFS($G$2:$G181,"Unknown")+COUNTIFS($G$2:$G181,"Undecided"),"")</f>
        <v/>
      </c>
    </row>
    <row r="182">
      <c r="J182">
        <f>IF(OR($G182="Unknown",$G182="Undecided"),COUNTIFS($G$2:$G182,"Unknown")+COUNTIFS($G$2:$G182,"Undecided"),"")</f>
        <v/>
      </c>
    </row>
    <row r="183">
      <c r="J183">
        <f>IF(OR($G183="Unknown",$G183="Undecided"),COUNTIFS($G$2:$G183,"Unknown")+COUNTIFS($G$2:$G183,"Undecided"),"")</f>
        <v/>
      </c>
    </row>
    <row r="184">
      <c r="J184">
        <f>IF(OR($G184="Unknown",$G184="Undecided"),COUNTIFS($G$2:$G184,"Unknown")+COUNTIFS($G$2:$G184,"Undecided"),"")</f>
        <v/>
      </c>
    </row>
    <row r="185">
      <c r="J185">
        <f>IF(OR($G185="Unknown",$G185="Undecided"),COUNTIFS($G$2:$G185,"Unknown")+COUNTIFS($G$2:$G185,"Undecided"),"")</f>
        <v/>
      </c>
    </row>
    <row r="186">
      <c r="J186">
        <f>IF(OR($G186="Unknown",$G186="Undecided"),COUNTIFS($G$2:$G186,"Unknown")+COUNTIFS($G$2:$G186,"Undecided"),"")</f>
        <v/>
      </c>
    </row>
    <row r="187">
      <c r="J187">
        <f>IF(OR($G187="Unknown",$G187="Undecided"),COUNTIFS($G$2:$G187,"Unknown")+COUNTIFS($G$2:$G187,"Undecided"),"")</f>
        <v/>
      </c>
    </row>
    <row r="188">
      <c r="J188">
        <f>IF(OR($G188="Unknown",$G188="Undecided"),COUNTIFS($G$2:$G188,"Unknown")+COUNTIFS($G$2:$G188,"Undecided"),"")</f>
        <v/>
      </c>
    </row>
    <row r="189">
      <c r="J189">
        <f>IF(OR($G189="Unknown",$G189="Undecided"),COUNTIFS($G$2:$G189,"Unknown")+COUNTIFS($G$2:$G189,"Undecided"),"")</f>
        <v/>
      </c>
    </row>
    <row r="190">
      <c r="J190">
        <f>IF(OR($G190="Unknown",$G190="Undecided"),COUNTIFS($G$2:$G190,"Unknown")+COUNTIFS($G$2:$G190,"Undecided"),"")</f>
        <v/>
      </c>
    </row>
    <row r="191">
      <c r="J191">
        <f>IF(OR($G191="Unknown",$G191="Undecided"),COUNTIFS($G$2:$G191,"Unknown")+COUNTIFS($G$2:$G191,"Undecided"),"")</f>
        <v/>
      </c>
    </row>
    <row r="192">
      <c r="J192">
        <f>IF(OR($G192="Unknown",$G192="Undecided"),COUNTIFS($G$2:$G192,"Unknown")+COUNTIFS($G$2:$G192,"Undecided"),"")</f>
        <v/>
      </c>
    </row>
    <row r="193">
      <c r="J193">
        <f>IF(OR($G193="Unknown",$G193="Undecided"),COUNTIFS($G$2:$G193,"Unknown")+COUNTIFS($G$2:$G193,"Undecided"),"")</f>
        <v/>
      </c>
    </row>
    <row r="194">
      <c r="J194">
        <f>IF(OR($G194="Unknown",$G194="Undecided"),COUNTIFS($G$2:$G194,"Unknown")+COUNTIFS($G$2:$G194,"Undecided"),"")</f>
        <v/>
      </c>
    </row>
    <row r="195">
      <c r="J195">
        <f>IF(OR($G195="Unknown",$G195="Undecided"),COUNTIFS($G$2:$G195,"Unknown")+COUNTIFS($G$2:$G195,"Undecided"),"")</f>
        <v/>
      </c>
    </row>
    <row r="196">
      <c r="J196">
        <f>IF(OR($G196="Unknown",$G196="Undecided"),COUNTIFS($G$2:$G196,"Unknown")+COUNTIFS($G$2:$G196,"Undecided"),"")</f>
        <v/>
      </c>
    </row>
    <row r="197">
      <c r="J197">
        <f>IF(OR($G197="Unknown",$G197="Undecided"),COUNTIFS($G$2:$G197,"Unknown")+COUNTIFS($G$2:$G197,"Undecided"),"")</f>
        <v/>
      </c>
    </row>
    <row r="198">
      <c r="J198">
        <f>IF(OR($G198="Unknown",$G198="Undecided"),COUNTIFS($G$2:$G198,"Unknown")+COUNTIFS($G$2:$G198,"Undecided"),"")</f>
        <v/>
      </c>
    </row>
    <row r="199">
      <c r="J199">
        <f>IF(OR($G199="Unknown",$G199="Undecided"),COUNTIFS($G$2:$G199,"Unknown")+COUNTIFS($G$2:$G199,"Undecided"),"")</f>
        <v/>
      </c>
    </row>
    <row r="200">
      <c r="J200">
        <f>IF(OR($G200="Unknown",$G200="Undecided"),COUNTIFS($G$2:$G200,"Unknown")+COUNTIFS($G$2:$G200,"Undecided"),"")</f>
        <v/>
      </c>
    </row>
    <row r="201">
      <c r="J201">
        <f>IF(OR($G201="Unknown",$G201="Undecided"),COUNTIFS($G$2:$G201,"Unknown")+COUNTIFS($G$2:$G201,"Undecided"),"")</f>
        <v/>
      </c>
    </row>
    <row r="202">
      <c r="J202">
        <f>IF(OR($G202="Unknown",$G202="Undecided"),COUNTIFS($G$2:$G202,"Unknown")+COUNTIFS($G$2:$G202,"Undecided"),"")</f>
        <v/>
      </c>
    </row>
    <row r="203">
      <c r="J203">
        <f>IF(OR($G203="Unknown",$G203="Undecided"),COUNTIFS($G$2:$G203,"Unknown")+COUNTIFS($G$2:$G203,"Undecided"),"")</f>
        <v/>
      </c>
    </row>
    <row r="204">
      <c r="J204">
        <f>IF(OR($G204="Unknown",$G204="Undecided"),COUNTIFS($G$2:$G204,"Unknown")+COUNTIFS($G$2:$G204,"Undecided"),"")</f>
        <v/>
      </c>
    </row>
    <row r="205">
      <c r="J205">
        <f>IF(OR($G205="Unknown",$G205="Undecided"),COUNTIFS($G$2:$G205,"Unknown")+COUNTIFS($G$2:$G205,"Undecided"),"")</f>
        <v/>
      </c>
    </row>
    <row r="206">
      <c r="J206">
        <f>IF(OR($G206="Unknown",$G206="Undecided"),COUNTIFS($G$2:$G206,"Unknown")+COUNTIFS($G$2:$G206,"Undecided"),"")</f>
        <v/>
      </c>
    </row>
    <row r="207">
      <c r="J207">
        <f>IF(OR($G207="Unknown",$G207="Undecided"),COUNTIFS($G$2:$G207,"Unknown")+COUNTIFS($G$2:$G207,"Undecided"),"")</f>
        <v/>
      </c>
    </row>
    <row r="208">
      <c r="J208">
        <f>IF(OR($G208="Unknown",$G208="Undecided"),COUNTIFS($G$2:$G208,"Unknown")+COUNTIFS($G$2:$G208,"Undecided"),"")</f>
        <v/>
      </c>
    </row>
    <row r="209">
      <c r="J209">
        <f>IF(OR($G209="Unknown",$G209="Undecided"),COUNTIFS($G$2:$G209,"Unknown")+COUNTIFS($G$2:$G209,"Undecided"),"")</f>
        <v/>
      </c>
    </row>
    <row r="210">
      <c r="J210">
        <f>IF(OR($G210="Unknown",$G210="Undecided"),COUNTIFS($G$2:$G210,"Unknown")+COUNTIFS($G$2:$G210,"Undecided"),"")</f>
        <v/>
      </c>
    </row>
    <row r="211">
      <c r="J211">
        <f>IF(OR($G211="Unknown",$G211="Undecided"),COUNTIFS($G$2:$G211,"Unknown")+COUNTIFS($G$2:$G211,"Undecided"),"")</f>
        <v/>
      </c>
    </row>
    <row r="212">
      <c r="J212">
        <f>IF(OR($G212="Unknown",$G212="Undecided"),COUNTIFS($G$2:$G212,"Unknown")+COUNTIFS($G$2:$G212,"Undecided"),"")</f>
        <v/>
      </c>
    </row>
    <row r="213">
      <c r="J213">
        <f>IF(OR($G213="Unknown",$G213="Undecided"),COUNTIFS($G$2:$G213,"Unknown")+COUNTIFS($G$2:$G213,"Undecided"),"")</f>
        <v/>
      </c>
    </row>
    <row r="214">
      <c r="J214">
        <f>IF(OR($G214="Unknown",$G214="Undecided"),COUNTIFS($G$2:$G214,"Unknown")+COUNTIFS($G$2:$G214,"Undecided"),"")</f>
        <v/>
      </c>
    </row>
    <row r="215">
      <c r="J215">
        <f>IF(OR($G215="Unknown",$G215="Undecided"),COUNTIFS($G$2:$G215,"Unknown")+COUNTIFS($G$2:$G215,"Undecided"),"")</f>
        <v/>
      </c>
    </row>
    <row r="216">
      <c r="J216">
        <f>IF(OR($G216="Unknown",$G216="Undecided"),COUNTIFS($G$2:$G216,"Unknown")+COUNTIFS($G$2:$G216,"Undecided"),"")</f>
        <v/>
      </c>
    </row>
    <row r="217">
      <c r="J217">
        <f>IF(OR($G217="Unknown",$G217="Undecided"),COUNTIFS($G$2:$G217,"Unknown")+COUNTIFS($G$2:$G217,"Undecided"),"")</f>
        <v/>
      </c>
    </row>
    <row r="218">
      <c r="J218">
        <f>IF(OR($G218="Unknown",$G218="Undecided"),COUNTIFS($G$2:$G218,"Unknown")+COUNTIFS($G$2:$G218,"Undecided"),"")</f>
        <v/>
      </c>
    </row>
    <row r="219">
      <c r="J219">
        <f>IF(OR($G219="Unknown",$G219="Undecided"),COUNTIFS($G$2:$G219,"Unknown")+COUNTIFS($G$2:$G219,"Undecided"),"")</f>
        <v/>
      </c>
    </row>
    <row r="220">
      <c r="J220">
        <f>IF(OR($G220="Unknown",$G220="Undecided"),COUNTIFS($G$2:$G220,"Unknown")+COUNTIFS($G$2:$G220,"Undecided"),"")</f>
        <v/>
      </c>
    </row>
    <row r="221">
      <c r="J221">
        <f>IF(OR($G221="Unknown",$G221="Undecided"),COUNTIFS($G$2:$G221,"Unknown")+COUNTIFS($G$2:$G221,"Undecided"),"")</f>
        <v/>
      </c>
    </row>
    <row r="222">
      <c r="J222">
        <f>IF(OR($G222="Unknown",$G222="Undecided"),COUNTIFS($G$2:$G222,"Unknown")+COUNTIFS($G$2:$G222,"Undecided"),"")</f>
        <v/>
      </c>
    </row>
    <row r="223">
      <c r="J223">
        <f>IF(OR($G223="Unknown",$G223="Undecided"),COUNTIFS($G$2:$G223,"Unknown")+COUNTIFS($G$2:$G223,"Undecided"),"")</f>
        <v/>
      </c>
    </row>
    <row r="224">
      <c r="J224">
        <f>IF(OR($G224="Unknown",$G224="Undecided"),COUNTIFS($G$2:$G224,"Unknown")+COUNTIFS($G$2:$G224,"Undecided"),"")</f>
        <v/>
      </c>
    </row>
    <row r="225">
      <c r="J225">
        <f>IF(OR($G225="Unknown",$G225="Undecided"),COUNTIFS($G$2:$G225,"Unknown")+COUNTIFS($G$2:$G225,"Undecided"),"")</f>
        <v/>
      </c>
    </row>
    <row r="226">
      <c r="J226">
        <f>IF(OR($G226="Unknown",$G226="Undecided"),COUNTIFS($G$2:$G226,"Unknown")+COUNTIFS($G$2:$G226,"Undecided"),"")</f>
        <v/>
      </c>
    </row>
    <row r="227">
      <c r="J227">
        <f>IF(OR($G227="Unknown",$G227="Undecided"),COUNTIFS($G$2:$G227,"Unknown")+COUNTIFS($G$2:$G227,"Undecided"),"")</f>
        <v/>
      </c>
    </row>
    <row r="228">
      <c r="J228">
        <f>IF(OR($G228="Unknown",$G228="Undecided"),COUNTIFS($G$2:$G228,"Unknown")+COUNTIFS($G$2:$G228,"Undecided"),"")</f>
        <v/>
      </c>
    </row>
    <row r="229">
      <c r="J229">
        <f>IF(OR($G229="Unknown",$G229="Undecided"),COUNTIFS($G$2:$G229,"Unknown")+COUNTIFS($G$2:$G229,"Undecided"),"")</f>
        <v/>
      </c>
    </row>
    <row r="230">
      <c r="J230">
        <f>IF(OR($G230="Unknown",$G230="Undecided"),COUNTIFS($G$2:$G230,"Unknown")+COUNTIFS($G$2:$G230,"Undecided"),"")</f>
        <v/>
      </c>
    </row>
    <row r="231">
      <c r="J231">
        <f>IF(OR($G231="Unknown",$G231="Undecided"),COUNTIFS($G$2:$G231,"Unknown")+COUNTIFS($G$2:$G231,"Undecided"),"")</f>
        <v/>
      </c>
    </row>
    <row r="232">
      <c r="J232">
        <f>IF(OR($G232="Unknown",$G232="Undecided"),COUNTIFS($G$2:$G232,"Unknown")+COUNTIFS($G$2:$G232,"Undecided"),"")</f>
        <v/>
      </c>
    </row>
    <row r="233">
      <c r="J233">
        <f>IF(OR($G233="Unknown",$G233="Undecided"),COUNTIFS($G$2:$G233,"Unknown")+COUNTIFS($G$2:$G233,"Undecided"),"")</f>
        <v/>
      </c>
    </row>
    <row r="234">
      <c r="J234">
        <f>IF(OR($G234="Unknown",$G234="Undecided"),COUNTIFS($G$2:$G234,"Unknown")+COUNTIFS($G$2:$G234,"Undecided"),"")</f>
        <v/>
      </c>
    </row>
    <row r="235">
      <c r="J235">
        <f>IF(OR($G235="Unknown",$G235="Undecided"),COUNTIFS($G$2:$G235,"Unknown")+COUNTIFS($G$2:$G235,"Undecided"),"")</f>
        <v/>
      </c>
    </row>
    <row r="236">
      <c r="J236">
        <f>IF(OR($G236="Unknown",$G236="Undecided"),COUNTIFS($G$2:$G236,"Unknown")+COUNTIFS($G$2:$G236,"Undecided"),"")</f>
        <v/>
      </c>
    </row>
    <row r="237">
      <c r="J237">
        <f>IF(OR($G237="Unknown",$G237="Undecided"),COUNTIFS($G$2:$G237,"Unknown")+COUNTIFS($G$2:$G237,"Undecided"),"")</f>
        <v/>
      </c>
    </row>
    <row r="238">
      <c r="J238">
        <f>IF(OR($G238="Unknown",$G238="Undecided"),COUNTIFS($G$2:$G238,"Unknown")+COUNTIFS($G$2:$G238,"Undecided"),"")</f>
        <v/>
      </c>
    </row>
    <row r="239">
      <c r="J239">
        <f>IF(OR($G239="Unknown",$G239="Undecided"),COUNTIFS($G$2:$G239,"Unknown")+COUNTIFS($G$2:$G239,"Undecided"),"")</f>
        <v/>
      </c>
    </row>
    <row r="240">
      <c r="J240">
        <f>IF(OR($G240="Unknown",$G240="Undecided"),COUNTIFS($G$2:$G240,"Unknown")+COUNTIFS($G$2:$G240,"Undecided"),"")</f>
        <v/>
      </c>
    </row>
    <row r="241">
      <c r="J241">
        <f>IF(OR($G241="Unknown",$G241="Undecided"),COUNTIFS($G$2:$G241,"Unknown")+COUNTIFS($G$2:$G241,"Undecided"),"")</f>
        <v/>
      </c>
    </row>
    <row r="242">
      <c r="J242">
        <f>IF(OR($G242="Unknown",$G242="Undecided"),COUNTIFS($G$2:$G242,"Unknown")+COUNTIFS($G$2:$G242,"Undecided"),"")</f>
        <v/>
      </c>
    </row>
    <row r="243">
      <c r="J243">
        <f>IF(OR($G243="Unknown",$G243="Undecided"),COUNTIFS($G$2:$G243,"Unknown")+COUNTIFS($G$2:$G243,"Undecided"),"")</f>
        <v/>
      </c>
    </row>
    <row r="244">
      <c r="J244">
        <f>IF(OR($G244="Unknown",$G244="Undecided"),COUNTIFS($G$2:$G244,"Unknown")+COUNTIFS($G$2:$G244,"Undecided"),"")</f>
        <v/>
      </c>
    </row>
    <row r="245">
      <c r="J245">
        <f>IF(OR($G245="Unknown",$G245="Undecided"),COUNTIFS($G$2:$G245,"Unknown")+COUNTIFS($G$2:$G245,"Undecided"),"")</f>
        <v/>
      </c>
    </row>
    <row r="246">
      <c r="J246">
        <f>IF(OR($G246="Unknown",$G246="Undecided"),COUNTIFS($G$2:$G246,"Unknown")+COUNTIFS($G$2:$G246,"Undecided"),"")</f>
        <v/>
      </c>
    </row>
    <row r="247">
      <c r="J247">
        <f>IF(OR($G247="Unknown",$G247="Undecided"),COUNTIFS($G$2:$G247,"Unknown")+COUNTIFS($G$2:$G247,"Undecided"),"")</f>
        <v/>
      </c>
    </row>
    <row r="248">
      <c r="J248">
        <f>IF(OR($G248="Unknown",$G248="Undecided"),COUNTIFS($G$2:$G248,"Unknown")+COUNTIFS($G$2:$G248,"Undecided"),"")</f>
        <v/>
      </c>
    </row>
    <row r="249">
      <c r="J249">
        <f>IF(OR($G249="Unknown",$G249="Undecided"),COUNTIFS($G$2:$G249,"Unknown")+COUNTIFS($G$2:$G249,"Undecided"),"")</f>
        <v/>
      </c>
    </row>
    <row r="250">
      <c r="J250">
        <f>IF(OR($G250="Unknown",$G250="Undecided"),COUNTIFS($G$2:$G250,"Unknown")+COUNTIFS($G$2:$G250,"Undecided"),"")</f>
        <v/>
      </c>
    </row>
    <row r="251">
      <c r="J251">
        <f>IF(OR($G251="Unknown",$G251="Undecided"),COUNTIFS($G$2:$G251,"Unknown")+COUNTIFS($G$2:$G251,"Undecided"),"")</f>
        <v/>
      </c>
    </row>
    <row r="252">
      <c r="J252">
        <f>IF(OR($G252="Unknown",$G252="Undecided"),COUNTIFS($G$2:$G252,"Unknown")+COUNTIFS($G$2:$G252,"Undecided"),"")</f>
        <v/>
      </c>
    </row>
    <row r="253">
      <c r="J253">
        <f>IF(OR($G253="Unknown",$G253="Undecided"),COUNTIFS($G$2:$G253,"Unknown")+COUNTIFS($G$2:$G253,"Undecided"),"")</f>
        <v/>
      </c>
    </row>
    <row r="254">
      <c r="J254">
        <f>IF(OR($G254="Unknown",$G254="Undecided"),COUNTIFS($G$2:$G254,"Unknown")+COUNTIFS($G$2:$G254,"Undecided"),"")</f>
        <v/>
      </c>
    </row>
    <row r="255">
      <c r="J255">
        <f>IF(OR($G255="Unknown",$G255="Undecided"),COUNTIFS($G$2:$G255,"Unknown")+COUNTIFS($G$2:$G255,"Undecided"),"")</f>
        <v/>
      </c>
    </row>
    <row r="256">
      <c r="J256">
        <f>IF(OR($G256="Unknown",$G256="Undecided"),COUNTIFS($G$2:$G256,"Unknown")+COUNTIFS($G$2:$G256,"Undecided"),"")</f>
        <v/>
      </c>
    </row>
    <row r="257">
      <c r="J257">
        <f>IF(OR($G257="Unknown",$G257="Undecided"),COUNTIFS($G$2:$G257,"Unknown")+COUNTIFS($G$2:$G257,"Undecided"),"")</f>
        <v/>
      </c>
    </row>
    <row r="258">
      <c r="J258">
        <f>IF(OR($G258="Unknown",$G258="Undecided"),COUNTIFS($G$2:$G258,"Unknown")+COUNTIFS($G$2:$G258,"Undecided"),"")</f>
        <v/>
      </c>
    </row>
    <row r="259">
      <c r="J259">
        <f>IF(OR($G259="Unknown",$G259="Undecided"),COUNTIFS($G$2:$G259,"Unknown")+COUNTIFS($G$2:$G259,"Undecided"),"")</f>
        <v/>
      </c>
    </row>
    <row r="260">
      <c r="J260">
        <f>IF(OR($G260="Unknown",$G260="Undecided"),COUNTIFS($G$2:$G260,"Unknown")+COUNTIFS($G$2:$G260,"Undecided"),"")</f>
        <v/>
      </c>
    </row>
    <row r="261">
      <c r="J261">
        <f>IF(OR($G261="Unknown",$G261="Undecided"),COUNTIFS($G$2:$G261,"Unknown")+COUNTIFS($G$2:$G261,"Undecided"),"")</f>
        <v/>
      </c>
    </row>
    <row r="262">
      <c r="J262">
        <f>IF(OR($G262="Unknown",$G262="Undecided"),COUNTIFS($G$2:$G262,"Unknown")+COUNTIFS($G$2:$G262,"Undecided"),"")</f>
        <v/>
      </c>
    </row>
    <row r="263">
      <c r="J263">
        <f>IF(OR($G263="Unknown",$G263="Undecided"),COUNTIFS($G$2:$G263,"Unknown")+COUNTIFS($G$2:$G263,"Undecided"),"")</f>
        <v/>
      </c>
    </row>
    <row r="264">
      <c r="J264">
        <f>IF(OR($G264="Unknown",$G264="Undecided"),COUNTIFS($G$2:$G264,"Unknown")+COUNTIFS($G$2:$G264,"Undecided"),"")</f>
        <v/>
      </c>
    </row>
    <row r="265">
      <c r="J265">
        <f>IF(OR($G265="Unknown",$G265="Undecided"),COUNTIFS($G$2:$G265,"Unknown")+COUNTIFS($G$2:$G265,"Undecided"),"")</f>
        <v/>
      </c>
    </row>
    <row r="266">
      <c r="J266">
        <f>IF(OR($G266="Unknown",$G266="Undecided"),COUNTIFS($G$2:$G266,"Unknown")+COUNTIFS($G$2:$G266,"Undecided"),"")</f>
        <v/>
      </c>
    </row>
    <row r="267">
      <c r="J267">
        <f>IF(OR($G267="Unknown",$G267="Undecided"),COUNTIFS($G$2:$G267,"Unknown")+COUNTIFS($G$2:$G267,"Undecided"),"")</f>
        <v/>
      </c>
    </row>
    <row r="268">
      <c r="J268">
        <f>IF(OR($G268="Unknown",$G268="Undecided"),COUNTIFS($G$2:$G268,"Unknown")+COUNTIFS($G$2:$G268,"Undecided"),"")</f>
        <v/>
      </c>
    </row>
    <row r="269">
      <c r="J269">
        <f>IF(OR($G269="Unknown",$G269="Undecided"),COUNTIFS($G$2:$G269,"Unknown")+COUNTIFS($G$2:$G269,"Undecided"),"")</f>
        <v/>
      </c>
    </row>
    <row r="270">
      <c r="J270">
        <f>IF(OR($G270="Unknown",$G270="Undecided"),COUNTIFS($G$2:$G270,"Unknown")+COUNTIFS($G$2:$G270,"Undecided"),"")</f>
        <v/>
      </c>
    </row>
    <row r="271">
      <c r="J271">
        <f>IF(OR($G271="Unknown",$G271="Undecided"),COUNTIFS($G$2:$G271,"Unknown")+COUNTIFS($G$2:$G271,"Undecided"),"")</f>
        <v/>
      </c>
    </row>
    <row r="272">
      <c r="J272">
        <f>IF(OR($G272="Unknown",$G272="Undecided"),COUNTIFS($G$2:$G272,"Unknown")+COUNTIFS($G$2:$G272,"Undecided"),"")</f>
        <v/>
      </c>
    </row>
    <row r="273">
      <c r="J273">
        <f>IF(OR($G273="Unknown",$G273="Undecided"),COUNTIFS($G$2:$G273,"Unknown")+COUNTIFS($G$2:$G273,"Undecided"),"")</f>
        <v/>
      </c>
    </row>
    <row r="274">
      <c r="J274">
        <f>IF(OR($G274="Unknown",$G274="Undecided"),COUNTIFS($G$2:$G274,"Unknown")+COUNTIFS($G$2:$G274,"Undecided"),"")</f>
        <v/>
      </c>
    </row>
    <row r="275">
      <c r="J275">
        <f>IF(OR($G275="Unknown",$G275="Undecided"),COUNTIFS($G$2:$G275,"Unknown")+COUNTIFS($G$2:$G275,"Undecided"),"")</f>
        <v/>
      </c>
    </row>
    <row r="276">
      <c r="J276">
        <f>IF(OR($G276="Unknown",$G276="Undecided"),COUNTIFS($G$2:$G276,"Unknown")+COUNTIFS($G$2:$G276,"Undecided"),"")</f>
        <v/>
      </c>
    </row>
    <row r="277">
      <c r="J277">
        <f>IF(OR($G277="Unknown",$G277="Undecided"),COUNTIFS($G$2:$G277,"Unknown")+COUNTIFS($G$2:$G277,"Undecided"),"")</f>
        <v/>
      </c>
    </row>
    <row r="278">
      <c r="J278">
        <f>IF(OR($G278="Unknown",$G278="Undecided"),COUNTIFS($G$2:$G278,"Unknown")+COUNTIFS($G$2:$G278,"Undecided"),"")</f>
        <v/>
      </c>
    </row>
    <row r="279">
      <c r="J279">
        <f>IF(OR($G279="Unknown",$G279="Undecided"),COUNTIFS($G$2:$G279,"Unknown")+COUNTIFS($G$2:$G279,"Undecided"),"")</f>
        <v/>
      </c>
    </row>
    <row r="280">
      <c r="J280">
        <f>IF(OR($G280="Unknown",$G280="Undecided"),COUNTIFS($G$2:$G280,"Unknown")+COUNTIFS($G$2:$G280,"Undecided"),"")</f>
        <v/>
      </c>
    </row>
    <row r="281">
      <c r="J281">
        <f>IF(OR($G281="Unknown",$G281="Undecided"),COUNTIFS($G$2:$G281,"Unknown")+COUNTIFS($G$2:$G281,"Undecided"),"")</f>
        <v/>
      </c>
    </row>
    <row r="282">
      <c r="J282">
        <f>IF(OR($G282="Unknown",$G282="Undecided"),COUNTIFS($G$2:$G282,"Unknown")+COUNTIFS($G$2:$G282,"Undecided"),"")</f>
        <v/>
      </c>
    </row>
    <row r="283">
      <c r="J283">
        <f>IF(OR($G283="Unknown",$G283="Undecided"),COUNTIFS($G$2:$G283,"Unknown")+COUNTIFS($G$2:$G283,"Undecided"),"")</f>
        <v/>
      </c>
    </row>
    <row r="284">
      <c r="J284">
        <f>IF(OR($G284="Unknown",$G284="Undecided"),COUNTIFS($G$2:$G284,"Unknown")+COUNTIFS($G$2:$G284,"Undecided"),"")</f>
        <v/>
      </c>
    </row>
    <row r="285">
      <c r="J285">
        <f>IF(OR($G285="Unknown",$G285="Undecided"),COUNTIFS($G$2:$G285,"Unknown")+COUNTIFS($G$2:$G285,"Undecided"),"")</f>
        <v/>
      </c>
    </row>
    <row r="286">
      <c r="J286">
        <f>IF(OR($G286="Unknown",$G286="Undecided"),COUNTIFS($G$2:$G286,"Unknown")+COUNTIFS($G$2:$G286,"Undecided"),"")</f>
        <v/>
      </c>
    </row>
    <row r="287">
      <c r="J287">
        <f>IF(OR($G287="Unknown",$G287="Undecided"),COUNTIFS($G$2:$G287,"Unknown")+COUNTIFS($G$2:$G287,"Undecided"),"")</f>
        <v/>
      </c>
    </row>
    <row r="288">
      <c r="J288">
        <f>IF(OR($G288="Unknown",$G288="Undecided"),COUNTIFS($G$2:$G288,"Unknown")+COUNTIFS($G$2:$G288,"Undecided"),"")</f>
        <v/>
      </c>
    </row>
    <row r="289">
      <c r="J289">
        <f>IF(OR($G289="Unknown",$G289="Undecided"),COUNTIFS($G$2:$G289,"Unknown")+COUNTIFS($G$2:$G289,"Undecided"),"")</f>
        <v/>
      </c>
    </row>
    <row r="290">
      <c r="J290">
        <f>IF(OR($G290="Unknown",$G290="Undecided"),COUNTIFS($G$2:$G290,"Unknown")+COUNTIFS($G$2:$G290,"Undecided"),"")</f>
        <v/>
      </c>
    </row>
    <row r="291">
      <c r="J291">
        <f>IF(OR($G291="Unknown",$G291="Undecided"),COUNTIFS($G$2:$G291,"Unknown")+COUNTIFS($G$2:$G291,"Undecided"),"")</f>
        <v/>
      </c>
    </row>
    <row r="292">
      <c r="J292">
        <f>IF(OR($G292="Unknown",$G292="Undecided"),COUNTIFS($G$2:$G292,"Unknown")+COUNTIFS($G$2:$G292,"Undecided"),"")</f>
        <v/>
      </c>
    </row>
    <row r="293">
      <c r="J293">
        <f>IF(OR($G293="Unknown",$G293="Undecided"),COUNTIFS($G$2:$G293,"Unknown")+COUNTIFS($G$2:$G293,"Undecided"),"")</f>
        <v/>
      </c>
    </row>
    <row r="294">
      <c r="J294">
        <f>IF(OR($G294="Unknown",$G294="Undecided"),COUNTIFS($G$2:$G294,"Unknown")+COUNTIFS($G$2:$G294,"Undecided"),"")</f>
        <v/>
      </c>
    </row>
    <row r="295">
      <c r="J295">
        <f>IF(OR($G295="Unknown",$G295="Undecided"),COUNTIFS($G$2:$G295,"Unknown")+COUNTIFS($G$2:$G295,"Undecided"),"")</f>
        <v/>
      </c>
    </row>
    <row r="296">
      <c r="J296">
        <f>IF(OR($G296="Unknown",$G296="Undecided"),COUNTIFS($G$2:$G296,"Unknown")+COUNTIFS($G$2:$G296,"Undecided"),"")</f>
        <v/>
      </c>
    </row>
    <row r="297">
      <c r="J297">
        <f>IF(OR($G297="Unknown",$G297="Undecided"),COUNTIFS($G$2:$G297,"Unknown")+COUNTIFS($G$2:$G297,"Undecided"),"")</f>
        <v/>
      </c>
    </row>
    <row r="298">
      <c r="J298">
        <f>IF(OR($G298="Unknown",$G298="Undecided"),COUNTIFS($G$2:$G298,"Unknown")+COUNTIFS($G$2:$G298,"Undecided"),"")</f>
        <v/>
      </c>
    </row>
    <row r="299">
      <c r="J299">
        <f>IF(OR($G299="Unknown",$G299="Undecided"),COUNTIFS($G$2:$G299,"Unknown")+COUNTIFS($G$2:$G299,"Undecided"),"")</f>
        <v/>
      </c>
    </row>
    <row r="300">
      <c r="J300">
        <f>IF(OR($G300="Unknown",$G300="Undecided"),COUNTIFS($G$2:$G300,"Unknown")+COUNTIFS($G$2:$G300,"Undecided"),"")</f>
        <v/>
      </c>
    </row>
    <row r="301">
      <c r="J301">
        <f>IF(OR($G301="Unknown",$G301="Undecided"),COUNTIFS($G$2:$G301,"Unknown")+COUNTIFS($G$2:$G301,"Undecided"),"")</f>
        <v/>
      </c>
    </row>
    <row r="302">
      <c r="J302">
        <f>IF(OR($G302="Unknown",$G302="Undecided"),COUNTIFS($G$2:$G302,"Unknown")+COUNTIFS($G$2:$G302,"Undecided"),"")</f>
        <v/>
      </c>
    </row>
    <row r="303">
      <c r="J303">
        <f>IF(OR($G303="Unknown",$G303="Undecided"),COUNTIFS($G$2:$G303,"Unknown")+COUNTIFS($G$2:$G303,"Undecided"),"")</f>
        <v/>
      </c>
    </row>
    <row r="304">
      <c r="J304">
        <f>IF(OR($G304="Unknown",$G304="Undecided"),COUNTIFS($G$2:$G304,"Unknown")+COUNTIFS($G$2:$G304,"Undecided"),"")</f>
        <v/>
      </c>
    </row>
    <row r="305">
      <c r="J305">
        <f>IF(OR($G305="Unknown",$G305="Undecided"),COUNTIFS($G$2:$G305,"Unknown")+COUNTIFS($G$2:$G305,"Undecided"),"")</f>
        <v/>
      </c>
    </row>
    <row r="306">
      <c r="J306">
        <f>IF(OR($G306="Unknown",$G306="Undecided"),COUNTIFS($G$2:$G306,"Unknown")+COUNTIFS($G$2:$G306,"Undecided"),"")</f>
        <v/>
      </c>
    </row>
    <row r="307">
      <c r="J307">
        <f>IF(OR($G307="Unknown",$G307="Undecided"),COUNTIFS($G$2:$G307,"Unknown")+COUNTIFS($G$2:$G307,"Undecided"),"")</f>
        <v/>
      </c>
    </row>
    <row r="308">
      <c r="J308">
        <f>IF(OR($G308="Unknown",$G308="Undecided"),COUNTIFS($G$2:$G308,"Unknown")+COUNTIFS($G$2:$G308,"Undecided"),"")</f>
        <v/>
      </c>
    </row>
    <row r="309">
      <c r="J309">
        <f>IF(OR($G309="Unknown",$G309="Undecided"),COUNTIFS($G$2:$G309,"Unknown")+COUNTIFS($G$2:$G309,"Undecided"),"")</f>
        <v/>
      </c>
    </row>
    <row r="310">
      <c r="J310">
        <f>IF(OR($G310="Unknown",$G310="Undecided"),COUNTIFS($G$2:$G310,"Unknown")+COUNTIFS($G$2:$G310,"Undecided"),"")</f>
        <v/>
      </c>
    </row>
    <row r="311">
      <c r="J311">
        <f>IF(OR($G311="Unknown",$G311="Undecided"),COUNTIFS($G$2:$G311,"Unknown")+COUNTIFS($G$2:$G311,"Undecided"),"")</f>
        <v/>
      </c>
    </row>
    <row r="312">
      <c r="J312">
        <f>IF(OR($G312="Unknown",$G312="Undecided"),COUNTIFS($G$2:$G312,"Unknown")+COUNTIFS($G$2:$G312,"Undecided"),"")</f>
        <v/>
      </c>
    </row>
    <row r="313">
      <c r="J313">
        <f>IF(OR($G313="Unknown",$G313="Undecided"),COUNTIFS($G$2:$G313,"Unknown")+COUNTIFS($G$2:$G313,"Undecided"),"")</f>
        <v/>
      </c>
    </row>
    <row r="314">
      <c r="J314">
        <f>IF(OR($G314="Unknown",$G314="Undecided"),COUNTIFS($G$2:$G314,"Unknown")+COUNTIFS($G$2:$G314,"Undecided"),"")</f>
        <v/>
      </c>
    </row>
    <row r="315">
      <c r="J315">
        <f>IF(OR($G315="Unknown",$G315="Undecided"),COUNTIFS($G$2:$G315,"Unknown")+COUNTIFS($G$2:$G315,"Undecided"),"")</f>
        <v/>
      </c>
    </row>
    <row r="316">
      <c r="J316">
        <f>IF(OR($G316="Unknown",$G316="Undecided"),COUNTIFS($G$2:$G316,"Unknown")+COUNTIFS($G$2:$G316,"Undecided"),"")</f>
        <v/>
      </c>
    </row>
    <row r="317">
      <c r="J317">
        <f>IF(OR($G317="Unknown",$G317="Undecided"),COUNTIFS($G$2:$G317,"Unknown")+COUNTIFS($G$2:$G317,"Undecided"),"")</f>
        <v/>
      </c>
    </row>
    <row r="318">
      <c r="J318">
        <f>IF(OR($G318="Unknown",$G318="Undecided"),COUNTIFS($G$2:$G318,"Unknown")+COUNTIFS($G$2:$G318,"Undecided"),"")</f>
        <v/>
      </c>
    </row>
    <row r="319">
      <c r="J319">
        <f>IF(OR($G319="Unknown",$G319="Undecided"),COUNTIFS($G$2:$G319,"Unknown")+COUNTIFS($G$2:$G319,"Undecided"),"")</f>
        <v/>
      </c>
    </row>
    <row r="320">
      <c r="J320">
        <f>IF(OR($G320="Unknown",$G320="Undecided"),COUNTIFS($G$2:$G320,"Unknown")+COUNTIFS($G$2:$G320,"Undecided"),"")</f>
        <v/>
      </c>
    </row>
    <row r="321">
      <c r="J321">
        <f>IF(OR($G321="Unknown",$G321="Undecided"),COUNTIFS($G$2:$G321,"Unknown")+COUNTIFS($G$2:$G321,"Undecided"),"")</f>
        <v/>
      </c>
    </row>
    <row r="322">
      <c r="J322">
        <f>IF(OR($G322="Unknown",$G322="Undecided"),COUNTIFS($G$2:$G322,"Unknown")+COUNTIFS($G$2:$G322,"Undecided"),"")</f>
        <v/>
      </c>
    </row>
    <row r="323">
      <c r="J323">
        <f>IF(OR($G323="Unknown",$G323="Undecided"),COUNTIFS($G$2:$G323,"Unknown")+COUNTIFS($G$2:$G323,"Undecided"),"")</f>
        <v/>
      </c>
    </row>
    <row r="324">
      <c r="J324">
        <f>IF(OR($G324="Unknown",$G324="Undecided"),COUNTIFS($G$2:$G324,"Unknown")+COUNTIFS($G$2:$G324,"Undecided"),"")</f>
        <v/>
      </c>
    </row>
    <row r="325">
      <c r="J325">
        <f>IF(OR($G325="Unknown",$G325="Undecided"),COUNTIFS($G$2:$G325,"Unknown")+COUNTIFS($G$2:$G325,"Undecided"),"")</f>
        <v/>
      </c>
    </row>
    <row r="326">
      <c r="J326">
        <f>IF(OR($G326="Unknown",$G326="Undecided"),COUNTIFS($G$2:$G326,"Unknown")+COUNTIFS($G$2:$G326,"Undecided"),"")</f>
        <v/>
      </c>
    </row>
    <row r="327">
      <c r="J327">
        <f>IF(OR($G327="Unknown",$G327="Undecided"),COUNTIFS($G$2:$G327,"Unknown")+COUNTIFS($G$2:$G327,"Undecided"),"")</f>
        <v/>
      </c>
    </row>
    <row r="328">
      <c r="J328">
        <f>IF(OR($G328="Unknown",$G328="Undecided"),COUNTIFS($G$2:$G328,"Unknown")+COUNTIFS($G$2:$G328,"Undecided"),"")</f>
        <v/>
      </c>
    </row>
    <row r="329">
      <c r="J329">
        <f>IF(OR($G329="Unknown",$G329="Undecided"),COUNTIFS($G$2:$G329,"Unknown")+COUNTIFS($G$2:$G329,"Undecided"),"")</f>
        <v/>
      </c>
    </row>
    <row r="330">
      <c r="J330">
        <f>IF(OR($G330="Unknown",$G330="Undecided"),COUNTIFS($G$2:$G330,"Unknown")+COUNTIFS($G$2:$G330,"Undecided"),"")</f>
        <v/>
      </c>
    </row>
    <row r="331">
      <c r="J331">
        <f>IF(OR($G331="Unknown",$G331="Undecided"),COUNTIFS($G$2:$G331,"Unknown")+COUNTIFS($G$2:$G331,"Undecided"),"")</f>
        <v/>
      </c>
    </row>
    <row r="332">
      <c r="J332">
        <f>IF(OR($G332="Unknown",$G332="Undecided"),COUNTIFS($G$2:$G332,"Unknown")+COUNTIFS($G$2:$G332,"Undecided"),"")</f>
        <v/>
      </c>
    </row>
    <row r="333">
      <c r="J333">
        <f>IF(OR($G333="Unknown",$G333="Undecided"),COUNTIFS($G$2:$G333,"Unknown")+COUNTIFS($G$2:$G333,"Undecided"),"")</f>
        <v/>
      </c>
    </row>
    <row r="334">
      <c r="J334">
        <f>IF(OR($G334="Unknown",$G334="Undecided"),COUNTIFS($G$2:$G334,"Unknown")+COUNTIFS($G$2:$G334,"Undecided"),"")</f>
        <v/>
      </c>
    </row>
    <row r="335">
      <c r="J335">
        <f>IF(OR($G335="Unknown",$G335="Undecided"),COUNTIFS($G$2:$G335,"Unknown")+COUNTIFS($G$2:$G335,"Undecided"),"")</f>
        <v/>
      </c>
    </row>
    <row r="336">
      <c r="J336">
        <f>IF(OR($G336="Unknown",$G336="Undecided"),COUNTIFS($G$2:$G336,"Unknown")+COUNTIFS($G$2:$G336,"Undecided"),"")</f>
        <v/>
      </c>
    </row>
    <row r="337">
      <c r="J337">
        <f>IF(OR($G337="Unknown",$G337="Undecided"),COUNTIFS($G$2:$G337,"Unknown")+COUNTIFS($G$2:$G337,"Undecided"),"")</f>
        <v/>
      </c>
    </row>
    <row r="338">
      <c r="J338">
        <f>IF(OR($G338="Unknown",$G338="Undecided"),COUNTIFS($G$2:$G338,"Unknown")+COUNTIFS($G$2:$G338,"Undecided"),"")</f>
        <v/>
      </c>
    </row>
    <row r="339">
      <c r="J339">
        <f>IF(OR($G339="Unknown",$G339="Undecided"),COUNTIFS($G$2:$G339,"Unknown")+COUNTIFS($G$2:$G339,"Undecided"),"")</f>
        <v/>
      </c>
    </row>
    <row r="340">
      <c r="J340">
        <f>IF(OR($G340="Unknown",$G340="Undecided"),COUNTIFS($G$2:$G340,"Unknown")+COUNTIFS($G$2:$G340,"Undecided"),"")</f>
        <v/>
      </c>
    </row>
    <row r="341">
      <c r="J341">
        <f>IF(OR($G341="Unknown",$G341="Undecided"),COUNTIFS($G$2:$G341,"Unknown")+COUNTIFS($G$2:$G341,"Undecided"),"")</f>
        <v/>
      </c>
    </row>
    <row r="342">
      <c r="J342">
        <f>IF(OR($G342="Unknown",$G342="Undecided"),COUNTIFS($G$2:$G342,"Unknown")+COUNTIFS($G$2:$G342,"Undecided"),"")</f>
        <v/>
      </c>
    </row>
    <row r="343">
      <c r="J343">
        <f>IF(OR($G343="Unknown",$G343="Undecided"),COUNTIFS($G$2:$G343,"Unknown")+COUNTIFS($G$2:$G343,"Undecided"),"")</f>
        <v/>
      </c>
    </row>
    <row r="344">
      <c r="J344">
        <f>IF(OR($G344="Unknown",$G344="Undecided"),COUNTIFS($G$2:$G344,"Unknown")+COUNTIFS($G$2:$G344,"Undecided"),"")</f>
        <v/>
      </c>
    </row>
    <row r="345">
      <c r="J345">
        <f>IF(OR($G345="Unknown",$G345="Undecided"),COUNTIFS($G$2:$G345,"Unknown")+COUNTIFS($G$2:$G345,"Undecided"),"")</f>
        <v/>
      </c>
    </row>
    <row r="346">
      <c r="J346">
        <f>IF(OR($G346="Unknown",$G346="Undecided"),COUNTIFS($G$2:$G346,"Unknown")+COUNTIFS($G$2:$G346,"Undecided"),"")</f>
        <v/>
      </c>
    </row>
    <row r="347">
      <c r="J347">
        <f>IF(OR($G347="Unknown",$G347="Undecided"),COUNTIFS($G$2:$G347,"Unknown")+COUNTIFS($G$2:$G347,"Undecided"),"")</f>
        <v/>
      </c>
    </row>
    <row r="348">
      <c r="J348">
        <f>IF(OR($G348="Unknown",$G348="Undecided"),COUNTIFS($G$2:$G348,"Unknown")+COUNTIFS($G$2:$G348,"Undecided"),"")</f>
        <v/>
      </c>
    </row>
    <row r="349">
      <c r="J349">
        <f>IF(OR($G349="Unknown",$G349="Undecided"),COUNTIFS($G$2:$G349,"Unknown")+COUNTIFS($G$2:$G349,"Undecided"),"")</f>
        <v/>
      </c>
    </row>
    <row r="350">
      <c r="J350">
        <f>IF(OR($G350="Unknown",$G350="Undecided"),COUNTIFS($G$2:$G350,"Unknown")+COUNTIFS($G$2:$G350,"Undecided"),"")</f>
        <v/>
      </c>
    </row>
    <row r="351">
      <c r="J351">
        <f>IF(OR($G351="Unknown",$G351="Undecided"),COUNTIFS($G$2:$G351,"Unknown")+COUNTIFS($G$2:$G351,"Undecided"),"")</f>
        <v/>
      </c>
    </row>
    <row r="352">
      <c r="J352">
        <f>IF(OR($G352="Unknown",$G352="Undecided"),COUNTIFS($G$2:$G352,"Unknown")+COUNTIFS($G$2:$G352,"Undecided"),"")</f>
        <v/>
      </c>
    </row>
    <row r="353">
      <c r="J353">
        <f>IF(OR($G353="Unknown",$G353="Undecided"),COUNTIFS($G$2:$G353,"Unknown")+COUNTIFS($G$2:$G353,"Undecided"),"")</f>
        <v/>
      </c>
    </row>
    <row r="354">
      <c r="J354">
        <f>IF(OR($G354="Unknown",$G354="Undecided"),COUNTIFS($G$2:$G354,"Unknown")+COUNTIFS($G$2:$G354,"Undecided"),"")</f>
        <v/>
      </c>
    </row>
    <row r="355">
      <c r="J355">
        <f>IF(OR($G355="Unknown",$G355="Undecided"),COUNTIFS($G$2:$G355,"Unknown")+COUNTIFS($G$2:$G355,"Undecided"),"")</f>
        <v/>
      </c>
    </row>
    <row r="356">
      <c r="J356">
        <f>IF(OR($G356="Unknown",$G356="Undecided"),COUNTIFS($G$2:$G356,"Unknown")+COUNTIFS($G$2:$G356,"Undecided"),"")</f>
        <v/>
      </c>
    </row>
    <row r="357">
      <c r="J357">
        <f>IF(OR($G357="Unknown",$G357="Undecided"),COUNTIFS($G$2:$G357,"Unknown")+COUNTIFS($G$2:$G357,"Undecided"),"")</f>
        <v/>
      </c>
    </row>
    <row r="358">
      <c r="J358">
        <f>IF(OR($G358="Unknown",$G358="Undecided"),COUNTIFS($G$2:$G358,"Unknown")+COUNTIFS($G$2:$G358,"Undecided"),"")</f>
        <v/>
      </c>
    </row>
    <row r="359">
      <c r="J359">
        <f>IF(OR($G359="Unknown",$G359="Undecided"),COUNTIFS($G$2:$G359,"Unknown")+COUNTIFS($G$2:$G359,"Undecided"),"")</f>
        <v/>
      </c>
    </row>
    <row r="360">
      <c r="J360">
        <f>IF(OR($G360="Unknown",$G360="Undecided"),COUNTIFS($G$2:$G360,"Unknown")+COUNTIFS($G$2:$G360,"Undecided"),"")</f>
        <v/>
      </c>
    </row>
    <row r="361">
      <c r="J361">
        <f>IF(OR($G361="Unknown",$G361="Undecided"),COUNTIFS($G$2:$G361,"Unknown")+COUNTIFS($G$2:$G361,"Undecided"),"")</f>
        <v/>
      </c>
    </row>
    <row r="362">
      <c r="J362">
        <f>IF(OR($G362="Unknown",$G362="Undecided"),COUNTIFS($G$2:$G362,"Unknown")+COUNTIFS($G$2:$G362,"Undecided"),"")</f>
        <v/>
      </c>
    </row>
    <row r="363">
      <c r="J363">
        <f>IF(OR($G363="Unknown",$G363="Undecided"),COUNTIFS($G$2:$G363,"Unknown")+COUNTIFS($G$2:$G363,"Undecided"),"")</f>
        <v/>
      </c>
    </row>
    <row r="364">
      <c r="J364">
        <f>IF(OR($G364="Unknown",$G364="Undecided"),COUNTIFS($G$2:$G364,"Unknown")+COUNTIFS($G$2:$G364,"Undecided"),"")</f>
        <v/>
      </c>
    </row>
    <row r="365">
      <c r="J365">
        <f>IF(OR($G365="Unknown",$G365="Undecided"),COUNTIFS($G$2:$G365,"Unknown")+COUNTIFS($G$2:$G365,"Undecided"),"")</f>
        <v/>
      </c>
    </row>
    <row r="366">
      <c r="J366">
        <f>IF(OR($G366="Unknown",$G366="Undecided"),COUNTIFS($G$2:$G366,"Unknown")+COUNTIFS($G$2:$G366,"Undecided"),"")</f>
        <v/>
      </c>
    </row>
    <row r="367">
      <c r="J367">
        <f>IF(OR($G367="Unknown",$G367="Undecided"),COUNTIFS($G$2:$G367,"Unknown")+COUNTIFS($G$2:$G367,"Undecided"),"")</f>
        <v/>
      </c>
    </row>
    <row r="368">
      <c r="J368">
        <f>IF(OR($G368="Unknown",$G368="Undecided"),COUNTIFS($G$2:$G368,"Unknown")+COUNTIFS($G$2:$G368,"Undecided"),"")</f>
        <v/>
      </c>
    </row>
    <row r="369">
      <c r="J369">
        <f>IF(OR($G369="Unknown",$G369="Undecided"),COUNTIFS($G$2:$G369,"Unknown")+COUNTIFS($G$2:$G369,"Undecided"),"")</f>
        <v/>
      </c>
    </row>
    <row r="370">
      <c r="J370">
        <f>IF(OR($G370="Unknown",$G370="Undecided"),COUNTIFS($G$2:$G370,"Unknown")+COUNTIFS($G$2:$G370,"Undecided"),"")</f>
        <v/>
      </c>
    </row>
    <row r="371">
      <c r="J371">
        <f>IF(OR($G371="Unknown",$G371="Undecided"),COUNTIFS($G$2:$G371,"Unknown")+COUNTIFS($G$2:$G371,"Undecided"),"")</f>
        <v/>
      </c>
    </row>
    <row r="372">
      <c r="J372">
        <f>IF(OR($G372="Unknown",$G372="Undecided"),COUNTIFS($G$2:$G372,"Unknown")+COUNTIFS($G$2:$G372,"Undecided"),"")</f>
        <v/>
      </c>
    </row>
    <row r="373">
      <c r="J373">
        <f>IF(OR($G373="Unknown",$G373="Undecided"),COUNTIFS($G$2:$G373,"Unknown")+COUNTIFS($G$2:$G373,"Undecided"),"")</f>
        <v/>
      </c>
    </row>
    <row r="374">
      <c r="J374">
        <f>IF(OR($G374="Unknown",$G374="Undecided"),COUNTIFS($G$2:$G374,"Unknown")+COUNTIFS($G$2:$G374,"Undecided"),"")</f>
        <v/>
      </c>
    </row>
    <row r="375">
      <c r="J375">
        <f>IF(OR($G375="Unknown",$G375="Undecided"),COUNTIFS($G$2:$G375,"Unknown")+COUNTIFS($G$2:$G375,"Undecided"),"")</f>
        <v/>
      </c>
    </row>
    <row r="376">
      <c r="J376">
        <f>IF(OR($G376="Unknown",$G376="Undecided"),COUNTIFS($G$2:$G376,"Unknown")+COUNTIFS($G$2:$G376,"Undecided"),"")</f>
        <v/>
      </c>
    </row>
    <row r="377">
      <c r="J377">
        <f>IF(OR($G377="Unknown",$G377="Undecided"),COUNTIFS($G$2:$G377,"Unknown")+COUNTIFS($G$2:$G377,"Undecided"),"")</f>
        <v/>
      </c>
    </row>
    <row r="378">
      <c r="J378">
        <f>IF(OR($G378="Unknown",$G378="Undecided"),COUNTIFS($G$2:$G378,"Unknown")+COUNTIFS($G$2:$G378,"Undecided"),"")</f>
        <v/>
      </c>
    </row>
    <row r="379">
      <c r="J379">
        <f>IF(OR($G379="Unknown",$G379="Undecided"),COUNTIFS($G$2:$G379,"Unknown")+COUNTIFS($G$2:$G379,"Undecided"),"")</f>
        <v/>
      </c>
    </row>
    <row r="380">
      <c r="J380">
        <f>IF(OR($G380="Unknown",$G380="Undecided"),COUNTIFS($G$2:$G380,"Unknown")+COUNTIFS($G$2:$G380,"Undecided"),"")</f>
        <v/>
      </c>
    </row>
    <row r="381">
      <c r="J381">
        <f>IF(OR($G381="Unknown",$G381="Undecided"),COUNTIFS($G$2:$G381,"Unknown")+COUNTIFS($G$2:$G381,"Undecided"),"")</f>
        <v/>
      </c>
    </row>
    <row r="382">
      <c r="J382">
        <f>IF(OR($G382="Unknown",$G382="Undecided"),COUNTIFS($G$2:$G382,"Unknown")+COUNTIFS($G$2:$G382,"Undecided"),"")</f>
        <v/>
      </c>
    </row>
    <row r="383">
      <c r="J383">
        <f>IF(OR($G383="Unknown",$G383="Undecided"),COUNTIFS($G$2:$G383,"Unknown")+COUNTIFS($G$2:$G383,"Undecided"),"")</f>
        <v/>
      </c>
    </row>
    <row r="384">
      <c r="J384">
        <f>IF(OR($G384="Unknown",$G384="Undecided"),COUNTIFS($G$2:$G384,"Unknown")+COUNTIFS($G$2:$G384,"Undecided"),"")</f>
        <v/>
      </c>
    </row>
    <row r="385">
      <c r="J385">
        <f>IF(OR($G385="Unknown",$G385="Undecided"),COUNTIFS($G$2:$G385,"Unknown")+COUNTIFS($G$2:$G385,"Undecided"),"")</f>
        <v/>
      </c>
    </row>
    <row r="386">
      <c r="J386">
        <f>IF(OR($G386="Unknown",$G386="Undecided"),COUNTIFS($G$2:$G386,"Unknown")+COUNTIFS($G$2:$G386,"Undecided"),"")</f>
        <v/>
      </c>
    </row>
    <row r="387">
      <c r="J387">
        <f>IF(OR($G387="Unknown",$G387="Undecided"),COUNTIFS($G$2:$G387,"Unknown")+COUNTIFS($G$2:$G387,"Undecided"),"")</f>
        <v/>
      </c>
    </row>
    <row r="388">
      <c r="J388">
        <f>IF(OR($G388="Unknown",$G388="Undecided"),COUNTIFS($G$2:$G388,"Unknown")+COUNTIFS($G$2:$G388,"Undecided"),"")</f>
        <v/>
      </c>
    </row>
    <row r="389">
      <c r="J389">
        <f>IF(OR($G389="Unknown",$G389="Undecided"),COUNTIFS($G$2:$G389,"Unknown")+COUNTIFS($G$2:$G389,"Undecided"),"")</f>
        <v/>
      </c>
    </row>
    <row r="390">
      <c r="J390">
        <f>IF(OR($G390="Unknown",$G390="Undecided"),COUNTIFS($G$2:$G390,"Unknown")+COUNTIFS($G$2:$G390,"Undecided"),"")</f>
        <v/>
      </c>
    </row>
    <row r="391">
      <c r="J391">
        <f>IF(OR($G391="Unknown",$G391="Undecided"),COUNTIFS($G$2:$G391,"Unknown")+COUNTIFS($G$2:$G391,"Undecided"),"")</f>
        <v/>
      </c>
    </row>
    <row r="392">
      <c r="J392">
        <f>IF(OR($G392="Unknown",$G392="Undecided"),COUNTIFS($G$2:$G392,"Unknown")+COUNTIFS($G$2:$G392,"Undecided"),"")</f>
        <v/>
      </c>
    </row>
    <row r="393">
      <c r="J393">
        <f>IF(OR($G393="Unknown",$G393="Undecided"),COUNTIFS($G$2:$G393,"Unknown")+COUNTIFS($G$2:$G393,"Undecided"),"")</f>
        <v/>
      </c>
    </row>
    <row r="394">
      <c r="J394">
        <f>IF(OR($G394="Unknown",$G394="Undecided"),COUNTIFS($G$2:$G394,"Unknown")+COUNTIFS($G$2:$G394,"Undecided"),"")</f>
        <v/>
      </c>
    </row>
    <row r="395">
      <c r="J395">
        <f>IF(OR($G395="Unknown",$G395="Undecided"),COUNTIFS($G$2:$G395,"Unknown")+COUNTIFS($G$2:$G395,"Undecided"),"")</f>
        <v/>
      </c>
    </row>
    <row r="396">
      <c r="J396">
        <f>IF(OR($G396="Unknown",$G396="Undecided"),COUNTIFS($G$2:$G396,"Unknown")+COUNTIFS($G$2:$G396,"Undecided"),"")</f>
        <v/>
      </c>
    </row>
    <row r="397">
      <c r="J397">
        <f>IF(OR($G397="Unknown",$G397="Undecided"),COUNTIFS($G$2:$G397,"Unknown")+COUNTIFS($G$2:$G397,"Undecided"),"")</f>
        <v/>
      </c>
    </row>
    <row r="398">
      <c r="J398">
        <f>IF(OR($G398="Unknown",$G398="Undecided"),COUNTIFS($G$2:$G398,"Unknown")+COUNTIFS($G$2:$G398,"Undecided"),"")</f>
        <v/>
      </c>
    </row>
    <row r="399">
      <c r="J399">
        <f>IF(OR($G399="Unknown",$G399="Undecided"),COUNTIFS($G$2:$G399,"Unknown")+COUNTIFS($G$2:$G399,"Undecided"),"")</f>
        <v/>
      </c>
    </row>
    <row r="400">
      <c r="J400">
        <f>IF(OR($G400="Unknown",$G400="Undecided"),COUNTIFS($G$2:$G400,"Unknown")+COUNTIFS($G$2:$G400,"Undecided"),"")</f>
        <v/>
      </c>
    </row>
    <row r="401">
      <c r="J401">
        <f>IF(OR($G401="Unknown",$G401="Undecided"),COUNTIFS($G$2:$G401,"Unknown")+COUNTIFS($G$2:$G401,"Undecided"),"")</f>
        <v/>
      </c>
    </row>
    <row r="402">
      <c r="J402">
        <f>IF(OR($G402="Unknown",$G402="Undecided"),COUNTIFS($G$2:$G402,"Unknown")+COUNTIFS($G$2:$G402,"Undecided"),"")</f>
        <v/>
      </c>
    </row>
    <row r="403">
      <c r="J403">
        <f>IF(OR($G403="Unknown",$G403="Undecided"),COUNTIFS($G$2:$G403,"Unknown")+COUNTIFS($G$2:$G403,"Undecided"),"")</f>
        <v/>
      </c>
    </row>
    <row r="404">
      <c r="J404">
        <f>IF(OR($G404="Unknown",$G404="Undecided"),COUNTIFS($G$2:$G404,"Unknown")+COUNTIFS($G$2:$G404,"Undecided"),"")</f>
        <v/>
      </c>
    </row>
    <row r="405">
      <c r="J405">
        <f>IF(OR($G405="Unknown",$G405="Undecided"),COUNTIFS($G$2:$G405,"Unknown")+COUNTIFS($G$2:$G405,"Undecided"),"")</f>
        <v/>
      </c>
    </row>
    <row r="406">
      <c r="J406">
        <f>IF(OR($G406="Unknown",$G406="Undecided"),COUNTIFS($G$2:$G406,"Unknown")+COUNTIFS($G$2:$G406,"Undecided"),"")</f>
        <v/>
      </c>
    </row>
    <row r="407">
      <c r="J407">
        <f>IF(OR($G407="Unknown",$G407="Undecided"),COUNTIFS($G$2:$G407,"Unknown")+COUNTIFS($G$2:$G407,"Undecided"),"")</f>
        <v/>
      </c>
    </row>
    <row r="408">
      <c r="J408">
        <f>IF(OR($G408="Unknown",$G408="Undecided"),COUNTIFS($G$2:$G408,"Unknown")+COUNTIFS($G$2:$G408,"Undecided"),"")</f>
        <v/>
      </c>
    </row>
    <row r="409">
      <c r="J409">
        <f>IF(OR($G409="Unknown",$G409="Undecided"),COUNTIFS($G$2:$G409,"Unknown")+COUNTIFS($G$2:$G409,"Undecided"),"")</f>
        <v/>
      </c>
    </row>
    <row r="410">
      <c r="J410">
        <f>IF(OR($G410="Unknown",$G410="Undecided"),COUNTIFS($G$2:$G410,"Unknown")+COUNTIFS($G$2:$G410,"Undecided"),"")</f>
        <v/>
      </c>
    </row>
    <row r="411">
      <c r="J411">
        <f>IF(OR($G411="Unknown",$G411="Undecided"),COUNTIFS($G$2:$G411,"Unknown")+COUNTIFS($G$2:$G411,"Undecided"),"")</f>
        <v/>
      </c>
    </row>
    <row r="412">
      <c r="J412">
        <f>IF(OR($G412="Unknown",$G412="Undecided"),COUNTIFS($G$2:$G412,"Unknown")+COUNTIFS($G$2:$G412,"Undecided"),"")</f>
        <v/>
      </c>
    </row>
    <row r="413">
      <c r="J413">
        <f>IF(OR($G413="Unknown",$G413="Undecided"),COUNTIFS($G$2:$G413,"Unknown")+COUNTIFS($G$2:$G413,"Undecided"),"")</f>
        <v/>
      </c>
    </row>
    <row r="414">
      <c r="J414">
        <f>IF(OR($G414="Unknown",$G414="Undecided"),COUNTIFS($G$2:$G414,"Unknown")+COUNTIFS($G$2:$G414,"Undecided"),"")</f>
        <v/>
      </c>
    </row>
    <row r="415">
      <c r="J415">
        <f>IF(OR($G415="Unknown",$G415="Undecided"),COUNTIFS($G$2:$G415,"Unknown")+COUNTIFS($G$2:$G415,"Undecided"),"")</f>
        <v/>
      </c>
    </row>
    <row r="416">
      <c r="J416">
        <f>IF(OR($G416="Unknown",$G416="Undecided"),COUNTIFS($G$2:$G416,"Unknown")+COUNTIFS($G$2:$G416,"Undecided"),"")</f>
        <v/>
      </c>
    </row>
    <row r="417">
      <c r="J417">
        <f>IF(OR($G417="Unknown",$G417="Undecided"),COUNTIFS($G$2:$G417,"Unknown")+COUNTIFS($G$2:$G417,"Undecided"),"")</f>
        <v/>
      </c>
    </row>
    <row r="418">
      <c r="J418">
        <f>IF(OR($G418="Unknown",$G418="Undecided"),COUNTIFS($G$2:$G418,"Unknown")+COUNTIFS($G$2:$G418,"Undecided"),"")</f>
        <v/>
      </c>
    </row>
    <row r="419">
      <c r="J419">
        <f>IF(OR($G419="Unknown",$G419="Undecided"),COUNTIFS($G$2:$G419,"Unknown")+COUNTIFS($G$2:$G419,"Undecided"),"")</f>
        <v/>
      </c>
    </row>
    <row r="420">
      <c r="J420">
        <f>IF(OR($G420="Unknown",$G420="Undecided"),COUNTIFS($G$2:$G420,"Unknown")+COUNTIFS($G$2:$G420,"Undecided"),"")</f>
        <v/>
      </c>
    </row>
    <row r="421">
      <c r="J421">
        <f>IF(OR($G421="Unknown",$G421="Undecided"),COUNTIFS($G$2:$G421,"Unknown")+COUNTIFS($G$2:$G421,"Undecided"),"")</f>
        <v/>
      </c>
    </row>
    <row r="422">
      <c r="J422">
        <f>IF(OR($G422="Unknown",$G422="Undecided"),COUNTIFS($G$2:$G422,"Unknown")+COUNTIFS($G$2:$G422,"Undecided"),"")</f>
        <v/>
      </c>
    </row>
    <row r="423">
      <c r="J423">
        <f>IF(OR($G423="Unknown",$G423="Undecided"),COUNTIFS($G$2:$G423,"Unknown")+COUNTIFS($G$2:$G423,"Undecided"),"")</f>
        <v/>
      </c>
    </row>
    <row r="424">
      <c r="J424">
        <f>IF(OR($G424="Unknown",$G424="Undecided"),COUNTIFS($G$2:$G424,"Unknown")+COUNTIFS($G$2:$G424,"Undecided"),"")</f>
        <v/>
      </c>
    </row>
    <row r="425">
      <c r="J425">
        <f>IF(OR($G425="Unknown",$G425="Undecided"),COUNTIFS($G$2:$G425,"Unknown")+COUNTIFS($G$2:$G425,"Undecided"),"")</f>
        <v/>
      </c>
    </row>
    <row r="426">
      <c r="J426">
        <f>IF(OR($G426="Unknown",$G426="Undecided"),COUNTIFS($G$2:$G426,"Unknown")+COUNTIFS($G$2:$G426,"Undecided"),"")</f>
        <v/>
      </c>
    </row>
    <row r="427">
      <c r="J427">
        <f>IF(OR($G427="Unknown",$G427="Undecided"),COUNTIFS($G$2:$G427,"Unknown")+COUNTIFS($G$2:$G427,"Undecided"),"")</f>
        <v/>
      </c>
    </row>
    <row r="428">
      <c r="J428">
        <f>IF(OR($G428="Unknown",$G428="Undecided"),COUNTIFS($G$2:$G428,"Unknown")+COUNTIFS($G$2:$G428,"Undecided"),"")</f>
        <v/>
      </c>
    </row>
    <row r="429">
      <c r="J429">
        <f>IF(OR($G429="Unknown",$G429="Undecided"),COUNTIFS($G$2:$G429,"Unknown")+COUNTIFS($G$2:$G429,"Undecided"),"")</f>
        <v/>
      </c>
    </row>
    <row r="430">
      <c r="J430">
        <f>IF(OR($G430="Unknown",$G430="Undecided"),COUNTIFS($G$2:$G430,"Unknown")+COUNTIFS($G$2:$G430,"Undecided"),"")</f>
        <v/>
      </c>
    </row>
    <row r="431">
      <c r="J431">
        <f>IF(OR($G431="Unknown",$G431="Undecided"),COUNTIFS($G$2:$G431,"Unknown")+COUNTIFS($G$2:$G431,"Undecided"),"")</f>
        <v/>
      </c>
    </row>
    <row r="432">
      <c r="J432">
        <f>IF(OR($G432="Unknown",$G432="Undecided"),COUNTIFS($G$2:$G432,"Unknown")+COUNTIFS($G$2:$G432,"Undecided"),"")</f>
        <v/>
      </c>
    </row>
    <row r="433">
      <c r="J433">
        <f>IF(OR($G433="Unknown",$G433="Undecided"),COUNTIFS($G$2:$G433,"Unknown")+COUNTIFS($G$2:$G433,"Undecided"),"")</f>
        <v/>
      </c>
    </row>
    <row r="434">
      <c r="J434">
        <f>IF(OR($G434="Unknown",$G434="Undecided"),COUNTIFS($G$2:$G434,"Unknown")+COUNTIFS($G$2:$G434,"Undecided"),"")</f>
        <v/>
      </c>
    </row>
    <row r="435">
      <c r="J435">
        <f>IF(OR($G435="Unknown",$G435="Undecided"),COUNTIFS($G$2:$G435,"Unknown")+COUNTIFS($G$2:$G435,"Undecided"),"")</f>
        <v/>
      </c>
    </row>
    <row r="436">
      <c r="J436">
        <f>IF(OR($G436="Unknown",$G436="Undecided"),COUNTIFS($G$2:$G436,"Unknown")+COUNTIFS($G$2:$G436,"Undecided"),"")</f>
        <v/>
      </c>
    </row>
    <row r="437">
      <c r="J437">
        <f>IF(OR($G437="Unknown",$G437="Undecided"),COUNTIFS($G$2:$G437,"Unknown")+COUNTIFS($G$2:$G437,"Undecided"),"")</f>
        <v/>
      </c>
    </row>
    <row r="438">
      <c r="J438">
        <f>IF(OR($G438="Unknown",$G438="Undecided"),COUNTIFS($G$2:$G438,"Unknown")+COUNTIFS($G$2:$G438,"Undecided"),"")</f>
        <v/>
      </c>
    </row>
    <row r="439">
      <c r="J439">
        <f>IF(OR($G439="Unknown",$G439="Undecided"),COUNTIFS($G$2:$G439,"Unknown")+COUNTIFS($G$2:$G439,"Undecided"),"")</f>
        <v/>
      </c>
    </row>
    <row r="440">
      <c r="J440">
        <f>IF(OR($G440="Unknown",$G440="Undecided"),COUNTIFS($G$2:$G440,"Unknown")+COUNTIFS($G$2:$G440,"Undecided"),"")</f>
        <v/>
      </c>
    </row>
    <row r="441">
      <c r="J441">
        <f>IF(OR($G441="Unknown",$G441="Undecided"),COUNTIFS($G$2:$G441,"Unknown")+COUNTIFS($G$2:$G441,"Undecided"),"")</f>
        <v/>
      </c>
    </row>
    <row r="442">
      <c r="J442">
        <f>IF(OR($G442="Unknown",$G442="Undecided"),COUNTIFS($G$2:$G442,"Unknown")+COUNTIFS($G$2:$G442,"Undecided"),"")</f>
        <v/>
      </c>
    </row>
    <row r="443">
      <c r="J443">
        <f>IF(OR($G443="Unknown",$G443="Undecided"),COUNTIFS($G$2:$G443,"Unknown")+COUNTIFS($G$2:$G443,"Undecided"),"")</f>
        <v/>
      </c>
    </row>
    <row r="444">
      <c r="J444">
        <f>IF(OR($G444="Unknown",$G444="Undecided"),COUNTIFS($G$2:$G444,"Unknown")+COUNTIFS($G$2:$G444,"Undecided"),"")</f>
        <v/>
      </c>
    </row>
    <row r="445">
      <c r="J445">
        <f>IF(OR($G445="Unknown",$G445="Undecided"),COUNTIFS($G$2:$G445,"Unknown")+COUNTIFS($G$2:$G445,"Undecided"),"")</f>
        <v/>
      </c>
    </row>
    <row r="446">
      <c r="J446">
        <f>IF(OR($G446="Unknown",$G446="Undecided"),COUNTIFS($G$2:$G446,"Unknown")+COUNTIFS($G$2:$G446,"Undecided"),"")</f>
        <v/>
      </c>
    </row>
    <row r="447">
      <c r="J447">
        <f>IF(OR($G447="Unknown",$G447="Undecided"),COUNTIFS($G$2:$G447,"Unknown")+COUNTIFS($G$2:$G447,"Undecided"),"")</f>
        <v/>
      </c>
    </row>
    <row r="448">
      <c r="J448">
        <f>IF(OR($G448="Unknown",$G448="Undecided"),COUNTIFS($G$2:$G448,"Unknown")+COUNTIFS($G$2:$G448,"Undecided"),"")</f>
        <v/>
      </c>
    </row>
    <row r="449">
      <c r="J449">
        <f>IF(OR($G449="Unknown",$G449="Undecided"),COUNTIFS($G$2:$G449,"Unknown")+COUNTIFS($G$2:$G449,"Undecided"),"")</f>
        <v/>
      </c>
    </row>
    <row r="450">
      <c r="J450">
        <f>IF(OR($G450="Unknown",$G450="Undecided"),COUNTIFS($G$2:$G450,"Unknown")+COUNTIFS($G$2:$G450,"Undecided"),"")</f>
        <v/>
      </c>
    </row>
    <row r="451">
      <c r="J451">
        <f>IF(OR($G451="Unknown",$G451="Undecided"),COUNTIFS($G$2:$G451,"Unknown")+COUNTIFS($G$2:$G451,"Undecided"),"")</f>
        <v/>
      </c>
    </row>
    <row r="452">
      <c r="J452">
        <f>IF(OR($G452="Unknown",$G452="Undecided"),COUNTIFS($G$2:$G452,"Unknown")+COUNTIFS($G$2:$G452,"Undecided"),"")</f>
        <v/>
      </c>
    </row>
    <row r="453">
      <c r="J453">
        <f>IF(OR($G453="Unknown",$G453="Undecided"),COUNTIFS($G$2:$G453,"Unknown")+COUNTIFS($G$2:$G453,"Undecided"),"")</f>
        <v/>
      </c>
    </row>
    <row r="454">
      <c r="J454">
        <f>IF(OR($G454="Unknown",$G454="Undecided"),COUNTIFS($G$2:$G454,"Unknown")+COUNTIFS($G$2:$G454,"Undecided"),"")</f>
        <v/>
      </c>
    </row>
    <row r="455">
      <c r="J455">
        <f>IF(OR($G455="Unknown",$G455="Undecided"),COUNTIFS($G$2:$G455,"Unknown")+COUNTIFS($G$2:$G455,"Undecided"),"")</f>
        <v/>
      </c>
    </row>
    <row r="456">
      <c r="J456">
        <f>IF(OR($G456="Unknown",$G456="Undecided"),COUNTIFS($G$2:$G456,"Unknown")+COUNTIFS($G$2:$G456,"Undecided"),"")</f>
        <v/>
      </c>
    </row>
    <row r="457">
      <c r="J457">
        <f>IF(OR($G457="Unknown",$G457="Undecided"),COUNTIFS($G$2:$G457,"Unknown")+COUNTIFS($G$2:$G457,"Undecided"),"")</f>
        <v/>
      </c>
    </row>
    <row r="458">
      <c r="J458">
        <f>IF(OR($G458="Unknown",$G458="Undecided"),COUNTIFS($G$2:$G458,"Unknown")+COUNTIFS($G$2:$G458,"Undecided"),"")</f>
        <v/>
      </c>
    </row>
    <row r="459">
      <c r="J459">
        <f>IF(OR($G459="Unknown",$G459="Undecided"),COUNTIFS($G$2:$G459,"Unknown")+COUNTIFS($G$2:$G459,"Undecided"),"")</f>
        <v/>
      </c>
    </row>
    <row r="460">
      <c r="J460">
        <f>IF(OR($G460="Unknown",$G460="Undecided"),COUNTIFS($G$2:$G460,"Unknown")+COUNTIFS($G$2:$G460,"Undecided"),"")</f>
        <v/>
      </c>
    </row>
    <row r="461">
      <c r="J461">
        <f>IF(OR($G461="Unknown",$G461="Undecided"),COUNTIFS($G$2:$G461,"Unknown")+COUNTIFS($G$2:$G461,"Undecided"),"")</f>
        <v/>
      </c>
    </row>
    <row r="462">
      <c r="J462">
        <f>IF(OR($G462="Unknown",$G462="Undecided"),COUNTIFS($G$2:$G462,"Unknown")+COUNTIFS($G$2:$G462,"Undecided"),"")</f>
        <v/>
      </c>
    </row>
    <row r="463">
      <c r="J463">
        <f>IF(OR($G463="Unknown",$G463="Undecided"),COUNTIFS($G$2:$G463,"Unknown")+COUNTIFS($G$2:$G463,"Undecided"),"")</f>
        <v/>
      </c>
    </row>
    <row r="464">
      <c r="J464">
        <f>IF(OR($G464="Unknown",$G464="Undecided"),COUNTIFS($G$2:$G464,"Unknown")+COUNTIFS($G$2:$G464,"Undecided"),"")</f>
        <v/>
      </c>
    </row>
    <row r="465">
      <c r="J465">
        <f>IF(OR($G465="Unknown",$G465="Undecided"),COUNTIFS($G$2:$G465,"Unknown")+COUNTIFS($G$2:$G465,"Undecided"),"")</f>
        <v/>
      </c>
    </row>
    <row r="466">
      <c r="J466">
        <f>IF(OR($G466="Unknown",$G466="Undecided"),COUNTIFS($G$2:$G466,"Unknown")+COUNTIFS($G$2:$G466,"Undecided"),"")</f>
        <v/>
      </c>
    </row>
    <row r="467">
      <c r="J467">
        <f>IF(OR($G467="Unknown",$G467="Undecided"),COUNTIFS($G$2:$G467,"Unknown")+COUNTIFS($G$2:$G467,"Undecided"),"")</f>
        <v/>
      </c>
    </row>
    <row r="468">
      <c r="J468">
        <f>IF(OR($G468="Unknown",$G468="Undecided"),COUNTIFS($G$2:$G468,"Unknown")+COUNTIFS($G$2:$G468,"Undecided"),"")</f>
        <v/>
      </c>
    </row>
    <row r="469">
      <c r="J469">
        <f>IF(OR($G469="Unknown",$G469="Undecided"),COUNTIFS($G$2:$G469,"Unknown")+COUNTIFS($G$2:$G469,"Undecided"),"")</f>
        <v/>
      </c>
    </row>
    <row r="470">
      <c r="J470">
        <f>IF(OR($G470="Unknown",$G470="Undecided"),COUNTIFS($G$2:$G470,"Unknown")+COUNTIFS($G$2:$G470,"Undecided"),"")</f>
        <v/>
      </c>
    </row>
    <row r="471">
      <c r="J471">
        <f>IF(OR($G471="Unknown",$G471="Undecided"),COUNTIFS($G$2:$G471,"Unknown")+COUNTIFS($G$2:$G471,"Undecided"),"")</f>
        <v/>
      </c>
    </row>
    <row r="472">
      <c r="J472">
        <f>IF(OR($G472="Unknown",$G472="Undecided"),COUNTIFS($G$2:$G472,"Unknown")+COUNTIFS($G$2:$G472,"Undecided"),"")</f>
        <v/>
      </c>
    </row>
    <row r="473">
      <c r="J473">
        <f>IF(OR($G473="Unknown",$G473="Undecided"),COUNTIFS($G$2:$G473,"Unknown")+COUNTIFS($G$2:$G473,"Undecided"),"")</f>
        <v/>
      </c>
    </row>
    <row r="474">
      <c r="J474">
        <f>IF(OR($G474="Unknown",$G474="Undecided"),COUNTIFS($G$2:$G474,"Unknown")+COUNTIFS($G$2:$G474,"Undecided"),"")</f>
        <v/>
      </c>
    </row>
    <row r="475">
      <c r="J475">
        <f>IF(OR($G475="Unknown",$G475="Undecided"),COUNTIFS($G$2:$G475,"Unknown")+COUNTIFS($G$2:$G475,"Undecided"),"")</f>
        <v/>
      </c>
    </row>
    <row r="476">
      <c r="J476">
        <f>IF(OR($G476="Unknown",$G476="Undecided"),COUNTIFS($G$2:$G476,"Unknown")+COUNTIFS($G$2:$G476,"Undecided"),"")</f>
        <v/>
      </c>
    </row>
    <row r="477">
      <c r="J477">
        <f>IF(OR($G477="Unknown",$G477="Undecided"),COUNTIFS($G$2:$G477,"Unknown")+COUNTIFS($G$2:$G477,"Undecided"),"")</f>
        <v/>
      </c>
    </row>
    <row r="478">
      <c r="J478">
        <f>IF(OR($G478="Unknown",$G478="Undecided"),COUNTIFS($G$2:$G478,"Unknown")+COUNTIFS($G$2:$G478,"Undecided"),"")</f>
        <v/>
      </c>
    </row>
    <row r="479">
      <c r="J479">
        <f>IF(OR($G479="Unknown",$G479="Undecided"),COUNTIFS($G$2:$G479,"Unknown")+COUNTIFS($G$2:$G479,"Undecided"),"")</f>
        <v/>
      </c>
    </row>
    <row r="480">
      <c r="J480">
        <f>IF(OR($G480="Unknown",$G480="Undecided"),COUNTIFS($G$2:$G480,"Unknown")+COUNTIFS($G$2:$G480,"Undecided"),"")</f>
        <v/>
      </c>
    </row>
    <row r="481">
      <c r="J481">
        <f>IF(OR($G481="Unknown",$G481="Undecided"),COUNTIFS($G$2:$G481,"Unknown")+COUNTIFS($G$2:$G481,"Undecided"),"")</f>
        <v/>
      </c>
    </row>
    <row r="482">
      <c r="J482">
        <f>IF(OR($G482="Unknown",$G482="Undecided"),COUNTIFS($G$2:$G482,"Unknown")+COUNTIFS($G$2:$G482,"Undecided"),"")</f>
        <v/>
      </c>
    </row>
    <row r="483">
      <c r="J483">
        <f>IF(OR($G483="Unknown",$G483="Undecided"),COUNTIFS($G$2:$G483,"Unknown")+COUNTIFS($G$2:$G483,"Undecided"),"")</f>
        <v/>
      </c>
    </row>
    <row r="484">
      <c r="J484">
        <f>IF(OR($G484="Unknown",$G484="Undecided"),COUNTIFS($G$2:$G484,"Unknown")+COUNTIFS($G$2:$G484,"Undecided"),"")</f>
        <v/>
      </c>
    </row>
    <row r="485">
      <c r="J485">
        <f>IF(OR($G485="Unknown",$G485="Undecided"),COUNTIFS($G$2:$G485,"Unknown")+COUNTIFS($G$2:$G485,"Undecided"),"")</f>
        <v/>
      </c>
    </row>
    <row r="486">
      <c r="J486">
        <f>IF(OR($G486="Unknown",$G486="Undecided"),COUNTIFS($G$2:$G486,"Unknown")+COUNTIFS($G$2:$G486,"Undecided"),"")</f>
        <v/>
      </c>
    </row>
    <row r="487">
      <c r="J487">
        <f>IF(OR($G487="Unknown",$G487="Undecided"),COUNTIFS($G$2:$G487,"Unknown")+COUNTIFS($G$2:$G487,"Undecided"),"")</f>
        <v/>
      </c>
    </row>
    <row r="488">
      <c r="J488">
        <f>IF(OR($G488="Unknown",$G488="Undecided"),COUNTIFS($G$2:$G488,"Unknown")+COUNTIFS($G$2:$G488,"Undecided"),"")</f>
        <v/>
      </c>
    </row>
    <row r="489">
      <c r="J489">
        <f>IF(OR($G489="Unknown",$G489="Undecided"),COUNTIFS($G$2:$G489,"Unknown")+COUNTIFS($G$2:$G489,"Undecided"),"")</f>
        <v/>
      </c>
    </row>
    <row r="490">
      <c r="J490">
        <f>IF(OR($G490="Unknown",$G490="Undecided"),COUNTIFS($G$2:$G490,"Unknown")+COUNTIFS($G$2:$G490,"Undecided"),"")</f>
        <v/>
      </c>
    </row>
    <row r="491">
      <c r="J491">
        <f>IF(OR($G491="Unknown",$G491="Undecided"),COUNTIFS($G$2:$G491,"Unknown")+COUNTIFS($G$2:$G491,"Undecided"),"")</f>
        <v/>
      </c>
    </row>
    <row r="492">
      <c r="J492">
        <f>IF(OR($G492="Unknown",$G492="Undecided"),COUNTIFS($G$2:$G492,"Unknown")+COUNTIFS($G$2:$G492,"Undecided"),"")</f>
        <v/>
      </c>
    </row>
    <row r="493">
      <c r="J493">
        <f>IF(OR($G493="Unknown",$G493="Undecided"),COUNTIFS($G$2:$G493,"Unknown")+COUNTIFS($G$2:$G493,"Undecided"),"")</f>
        <v/>
      </c>
    </row>
    <row r="494">
      <c r="J494">
        <f>IF(OR($G494="Unknown",$G494="Undecided"),COUNTIFS($G$2:$G494,"Unknown")+COUNTIFS($G$2:$G494,"Undecided"),"")</f>
        <v/>
      </c>
    </row>
    <row r="495">
      <c r="J495">
        <f>IF(OR($G495="Unknown",$G495="Undecided"),COUNTIFS($G$2:$G495,"Unknown")+COUNTIFS($G$2:$G495,"Undecided"),"")</f>
        <v/>
      </c>
    </row>
    <row r="496">
      <c r="J496">
        <f>IF(OR($G496="Unknown",$G496="Undecided"),COUNTIFS($G$2:$G496,"Unknown")+COUNTIFS($G$2:$G496,"Undecided"),"")</f>
        <v/>
      </c>
    </row>
    <row r="497">
      <c r="J497">
        <f>IF(OR($G497="Unknown",$G497="Undecided"),COUNTIFS($G$2:$G497,"Unknown")+COUNTIFS($G$2:$G497,"Undecided"),"")</f>
        <v/>
      </c>
    </row>
    <row r="498">
      <c r="J498">
        <f>IF(OR($G498="Unknown",$G498="Undecided"),COUNTIFS($G$2:$G498,"Unknown")+COUNTIFS($G$2:$G498,"Undecided"),"")</f>
        <v/>
      </c>
    </row>
    <row r="499">
      <c r="J499">
        <f>IF(OR($G499="Unknown",$G499="Undecided"),COUNTIFS($G$2:$G499,"Unknown")+COUNTIFS($G$2:$G499,"Undecided"),"")</f>
        <v/>
      </c>
    </row>
    <row r="500">
      <c r="J500">
        <f>IF(OR($G500="Unknown",$G500="Undecided"),COUNTIFS($G$2:$G500,"Unknown")+COUNTIFS($G$2:$G500,"Undecided"),"")</f>
        <v/>
      </c>
    </row>
  </sheetData>
  <autoFilter ref="A1:I25"/>
  <conditionalFormatting sqref="G2:G500">
    <cfRule type="cellIs" priority="1" operator="equal" dxfId="5">
      <formula>"Renewing"</formula>
    </cfRule>
    <cfRule type="cellIs" priority="2" operator="equal" dxfId="0">
      <formula>"Not Renewing"</formula>
    </cfRule>
    <cfRule type="cellIs" priority="3" operator="equal" dxfId="1">
      <formula>"Undecided"</formula>
    </cfRule>
  </conditionalFormatting>
  <dataValidations count="3">
    <dataValidation sqref="E2:E200" showDropDown="0" showInputMessage="0" showErrorMessage="0" allowBlank="0" errorTitle="Invalid entry" error="Please choose a value from the dropdown." type="list">
      <formula1>"Yes,No"</formula1>
    </dataValidation>
    <dataValidation sqref="G2:G200" showDropDown="0" showInputMessage="0" showErrorMessage="0" allowBlank="0" errorTitle="Invalid entry" error="Please choose a value from the dropdown." type="list">
      <formula1>"Renewing,Undecided,Not Renewing,Unknown"</formula1>
    </dataValidation>
    <dataValidation sqref="H2:H200" showDropDown="0" showInputMessage="0" showErrorMessage="0" allowBlank="0" errorTitle="Invalid entry" error="Please choose a value from the dropdown." type="list">
      <formula1>"N/A,Price,Relocating,Roommate Change,Service Experience,Unit Condition,Other"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K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42" customWidth="1" min="4" max="4"/>
    <col width="11" customWidth="1" min="5" max="5"/>
    <col width="13" customWidth="1" min="6" max="6"/>
    <col width="42" customWidth="1" min="7" max="7"/>
    <col width="10" customWidth="1" min="8" max="8"/>
    <col width="14" customWidth="1" min="9" max="9"/>
    <col width="14" customWidth="1" min="10" max="10"/>
    <col hidden="1" width="13" customWidth="1" min="11" max="11"/>
  </cols>
  <sheetData>
    <row r="1">
      <c r="A1" s="12" t="inlineStr">
        <is>
          <t>Date</t>
        </is>
      </c>
      <c r="B1" s="12" t="inlineStr">
        <is>
          <t>Unit</t>
        </is>
      </c>
      <c r="C1" s="12" t="inlineStr">
        <is>
          <t>Issue Category</t>
        </is>
      </c>
      <c r="D1" s="12" t="inlineStr">
        <is>
          <t>Description</t>
        </is>
      </c>
      <c r="E1" s="12" t="inlineStr">
        <is>
          <t>Severity</t>
        </is>
      </c>
      <c r="F1" s="12" t="inlineStr">
        <is>
          <t>Owner</t>
        </is>
      </c>
      <c r="G1" s="12" t="inlineStr">
        <is>
          <t>Action Taken</t>
        </is>
      </c>
      <c r="H1" s="12" t="inlineStr">
        <is>
          <t>Resolved</t>
        </is>
      </c>
      <c r="I1" s="12" t="inlineStr">
        <is>
          <t>Follow-Up Date</t>
        </is>
      </c>
      <c r="J1" s="12" t="inlineStr">
        <is>
          <t>Satisfaction (1-5)</t>
        </is>
      </c>
      <c r="K1" s="47" t="inlineStr">
        <is>
          <t>_seq_followup</t>
        </is>
      </c>
    </row>
    <row r="2">
      <c r="A2" s="14" t="n">
        <v>46292</v>
      </c>
      <c r="B2" s="16" t="inlineStr">
        <is>
          <t>B-214</t>
        </is>
      </c>
      <c r="C2" s="13" t="inlineStr">
        <is>
          <t>Maintenance Delay</t>
        </is>
      </c>
      <c r="D2" s="15" t="inlineStr">
        <is>
          <t>Third HVAC visit for same issue; resident frustrated</t>
        </is>
      </c>
      <c r="E2" s="13" t="inlineStr">
        <is>
          <t>High</t>
        </is>
      </c>
      <c r="F2" s="13" t="inlineStr">
        <is>
          <t>J. Williams</t>
        </is>
      </c>
      <c r="G2" s="15" t="inlineStr">
        <is>
          <t>Escalated to vendor supervisor; loaned portable AC unit</t>
        </is>
      </c>
      <c r="H2" s="16" t="inlineStr">
        <is>
          <t>Yes</t>
        </is>
      </c>
      <c r="I2" s="14" t="n">
        <v>46295</v>
      </c>
      <c r="J2" s="16" t="n">
        <v>5</v>
      </c>
      <c r="K2">
        <f>IF(AND($H2="No",$I2&lt;&gt;"",$I2&lt;=TODAY()+2),COUNTIFS($H$2:$H2,"No",$I$2:$I2,"&lt;&gt;"&amp;"",$I$2:$I2,"&lt;="&amp;TODAY()+2),"")</f>
        <v/>
      </c>
    </row>
    <row r="3">
      <c r="A3" s="14" t="n">
        <v>46291</v>
      </c>
      <c r="B3" s="16" t="inlineStr">
        <is>
          <t>C-305</t>
        </is>
      </c>
      <c r="C3" s="13" t="inlineStr">
        <is>
          <t>Service Experience</t>
        </is>
      </c>
      <c r="D3" s="15" t="inlineStr">
        <is>
          <t>Front desk gave wrong package locker code twice</t>
        </is>
      </c>
      <c r="E3" s="13" t="inlineStr">
        <is>
          <t>Medium</t>
        </is>
      </c>
      <c r="F3" s="13" t="inlineStr">
        <is>
          <t>J. Williams</t>
        </is>
      </c>
      <c r="G3" s="15" t="inlineStr">
        <is>
          <t>Apologized in person; walked resident through Parcel Pending app</t>
        </is>
      </c>
      <c r="H3" s="16" t="inlineStr">
        <is>
          <t>Yes</t>
        </is>
      </c>
      <c r="I3" s="14" t="n">
        <v>46294</v>
      </c>
      <c r="J3" s="16" t="n">
        <v>4</v>
      </c>
      <c r="K3">
        <f>IF(AND($H3="No",$I3&lt;&gt;"",$I3&lt;=TODAY()+2),COUNTIFS($H$2:$H3,"No",$I$2:$I3,"&lt;&gt;"&amp;"",$I$2:$I3,"&lt;="&amp;TODAY()+2),"")</f>
        <v/>
      </c>
    </row>
    <row r="4">
      <c r="A4" s="14" t="n">
        <v>46290</v>
      </c>
      <c r="B4" s="16" t="inlineStr">
        <is>
          <t>D-118</t>
        </is>
      </c>
      <c r="C4" s="13" t="inlineStr">
        <is>
          <t>Noise Complaint</t>
        </is>
      </c>
      <c r="D4" s="15" t="inlineStr">
        <is>
          <t>Ongoing late-night noise from unit above</t>
        </is>
      </c>
      <c r="E4" s="13" t="inlineStr">
        <is>
          <t>Medium</t>
        </is>
      </c>
      <c r="F4" s="13" t="inlineStr">
        <is>
          <t>M. Torres</t>
        </is>
      </c>
      <c r="G4" s="15" t="inlineStr">
        <is>
          <t>Contacted upstairs resident; issued courtesy notice; scheduled follow-up</t>
        </is>
      </c>
      <c r="H4" s="16" t="inlineStr">
        <is>
          <t>No</t>
        </is>
      </c>
      <c r="I4" s="14" t="n">
        <v>46297</v>
      </c>
      <c r="J4" s="13" t="n"/>
      <c r="K4">
        <f>IF(AND($H4="No",$I4&lt;&gt;"",$I4&lt;=TODAY()+2),COUNTIFS($H$2:$H4,"No",$I$2:$I4,"&lt;&gt;"&amp;"",$I$2:$I4,"&lt;="&amp;TODAY()+2),"")</f>
        <v/>
      </c>
    </row>
    <row r="5">
      <c r="A5" s="14" t="n">
        <v>46289</v>
      </c>
      <c r="B5" s="16" t="inlineStr">
        <is>
          <t>A-115</t>
        </is>
      </c>
      <c r="C5" s="13" t="inlineStr">
        <is>
          <t>Move-In Condition</t>
        </is>
      </c>
      <c r="D5" s="15" t="inlineStr">
        <is>
          <t>Unit not fully cleaned at move-in; dust on surfaces</t>
        </is>
      </c>
      <c r="E5" s="13" t="inlineStr">
        <is>
          <t>High</t>
        </is>
      </c>
      <c r="F5" s="13" t="inlineStr">
        <is>
          <t>J. Williams</t>
        </is>
      </c>
      <c r="G5" s="15" t="inlineStr">
        <is>
          <t>Dispatched cleaning crew same day; $50 account credit</t>
        </is>
      </c>
      <c r="H5" s="16" t="inlineStr">
        <is>
          <t>Yes</t>
        </is>
      </c>
      <c r="I5" s="14" t="n">
        <v>46292</v>
      </c>
      <c r="J5" s="16" t="n">
        <v>5</v>
      </c>
      <c r="K5">
        <f>IF(AND($H5="No",$I5&lt;&gt;"",$I5&lt;=TODAY()+2),COUNTIFS($H$2:$H5,"No",$I$2:$I5,"&lt;&gt;"&amp;"",$I$2:$I5,"&lt;="&amp;TODAY()+2),"")</f>
        <v/>
      </c>
    </row>
    <row r="6">
      <c r="A6" s="14" t="n">
        <v>46288</v>
      </c>
      <c r="B6" s="16" t="inlineStr">
        <is>
          <t>C-315</t>
        </is>
      </c>
      <c r="C6" s="13" t="inlineStr">
        <is>
          <t>Maintenance Delay</t>
        </is>
      </c>
      <c r="D6" s="15" t="inlineStr">
        <is>
          <t>Flooring repair rescheduled twice without notice</t>
        </is>
      </c>
      <c r="E6" s="13" t="inlineStr">
        <is>
          <t>High</t>
        </is>
      </c>
      <c r="F6" s="13" t="inlineStr">
        <is>
          <t>R. Patel</t>
        </is>
      </c>
      <c r="G6" s="15" t="inlineStr">
        <is>
          <t>Called resident directly; committed date met; supervisor QC walk</t>
        </is>
      </c>
      <c r="H6" s="16" t="inlineStr">
        <is>
          <t>Yes</t>
        </is>
      </c>
      <c r="I6" s="14" t="n">
        <v>46293</v>
      </c>
      <c r="J6" s="16" t="n">
        <v>4</v>
      </c>
      <c r="K6">
        <f>IF(AND($H6="No",$I6&lt;&gt;"",$I6&lt;=TODAY()+2),COUNTIFS($H$2:$H6,"No",$I$2:$I6,"&lt;&gt;"&amp;"",$I$2:$I6,"&lt;="&amp;TODAY()+2),"")</f>
        <v/>
      </c>
    </row>
    <row r="7">
      <c r="A7" s="14" t="n">
        <v>46287</v>
      </c>
      <c r="B7" s="16" t="inlineStr">
        <is>
          <t>B-201</t>
        </is>
      </c>
      <c r="C7" s="13" t="inlineStr">
        <is>
          <t>Parking Dispute</t>
        </is>
      </c>
      <c r="D7" s="15" t="inlineStr">
        <is>
          <t>Assigned spot repeatedly taken by guest vehicle</t>
        </is>
      </c>
      <c r="E7" s="13" t="inlineStr">
        <is>
          <t>Low</t>
        </is>
      </c>
      <c r="F7" s="13" t="inlineStr">
        <is>
          <t>M. Torres</t>
        </is>
      </c>
      <c r="G7" s="15" t="inlineStr">
        <is>
          <t>Posted reminder notice; towing policy explained to both parties</t>
        </is>
      </c>
      <c r="H7" s="16" t="inlineStr">
        <is>
          <t>Yes</t>
        </is>
      </c>
      <c r="I7" s="14" t="n">
        <v>46290</v>
      </c>
      <c r="J7" s="16" t="n">
        <v>4</v>
      </c>
      <c r="K7">
        <f>IF(AND($H7="No",$I7&lt;&gt;"",$I7&lt;=TODAY()+2),COUNTIFS($H$2:$H7,"No",$I$2:$I7,"&lt;&gt;"&amp;"",$I$2:$I7,"&lt;="&amp;TODAY()+2),"")</f>
        <v/>
      </c>
    </row>
    <row r="8">
      <c r="A8" s="14" t="n">
        <v>46286</v>
      </c>
      <c r="B8" s="16" t="inlineStr">
        <is>
          <t>D-102</t>
        </is>
      </c>
      <c r="C8" s="13" t="inlineStr">
        <is>
          <t>Package Issue</t>
        </is>
      </c>
      <c r="D8" s="15" t="inlineStr">
        <is>
          <t>Package marked delivered but not in locker</t>
        </is>
      </c>
      <c r="E8" s="13" t="inlineStr">
        <is>
          <t>Medium</t>
        </is>
      </c>
      <c r="F8" s="13" t="inlineStr">
        <is>
          <t>J. Williams</t>
        </is>
      </c>
      <c r="G8" s="15" t="inlineStr">
        <is>
          <t>Reviewed Parcel Pending logs + CCTV; located in wrong locker; delivered</t>
        </is>
      </c>
      <c r="H8" s="16" t="inlineStr">
        <is>
          <t>Yes</t>
        </is>
      </c>
      <c r="I8" s="14" t="n">
        <v>46289</v>
      </c>
      <c r="J8" s="16" t="n">
        <v>5</v>
      </c>
      <c r="K8">
        <f>IF(AND($H8="No",$I8&lt;&gt;"",$I8&lt;=TODAY()+2),COUNTIFS($H$2:$H8,"No",$I$2:$I8,"&lt;&gt;"&amp;"",$I$2:$I8,"&lt;="&amp;TODAY()+2),"")</f>
        <v/>
      </c>
    </row>
    <row r="9">
      <c r="A9" s="14" t="n">
        <v>46285</v>
      </c>
      <c r="B9" s="16" t="inlineStr">
        <is>
          <t>A-122</t>
        </is>
      </c>
      <c r="C9" s="13" t="inlineStr">
        <is>
          <t>Access Issue</t>
        </is>
      </c>
      <c r="D9" s="15" t="inlineStr">
        <is>
          <t>Fob stopped working overnight; resident locked out at 1 AM</t>
        </is>
      </c>
      <c r="E9" s="13" t="inlineStr">
        <is>
          <t>Critical</t>
        </is>
      </c>
      <c r="F9" s="13" t="inlineStr">
        <is>
          <t>J. Williams</t>
        </is>
      </c>
      <c r="G9" s="15" t="inlineStr">
        <is>
          <t>Immediate re-encode via Salto; escorted resident; incident documented</t>
        </is>
      </c>
      <c r="H9" s="16" t="inlineStr">
        <is>
          <t>Yes</t>
        </is>
      </c>
      <c r="I9" s="14" t="n">
        <v>46288</v>
      </c>
      <c r="J9" s="16" t="n">
        <v>5</v>
      </c>
      <c r="K9">
        <f>IF(AND($H9="No",$I9&lt;&gt;"",$I9&lt;=TODAY()+2),COUNTIFS($H$2:$H9,"No",$I$2:$I9,"&lt;&gt;"&amp;"",$I$2:$I9,"&lt;="&amp;TODAY()+2),"")</f>
        <v/>
      </c>
    </row>
    <row r="10">
      <c r="A10" s="14" t="n">
        <v>46284</v>
      </c>
      <c r="B10" s="16" t="inlineStr">
        <is>
          <t>C-308</t>
        </is>
      </c>
      <c r="C10" s="13" t="inlineStr">
        <is>
          <t>Common Area</t>
        </is>
      </c>
      <c r="D10" s="15" t="inlineStr">
        <is>
          <t>Pool gate latch broken; safety concern raised</t>
        </is>
      </c>
      <c r="E10" s="13" t="inlineStr">
        <is>
          <t>High</t>
        </is>
      </c>
      <c r="F10" s="13" t="inlineStr">
        <is>
          <t>D. Kim</t>
        </is>
      </c>
      <c r="G10" s="15" t="inlineStr">
        <is>
          <t>Temporary lock + signage same night; work order WO-1019 linked</t>
        </is>
      </c>
      <c r="H10" s="16" t="inlineStr">
        <is>
          <t>Yes</t>
        </is>
      </c>
      <c r="I10" s="14" t="n">
        <v>46287</v>
      </c>
      <c r="J10" s="16" t="n">
        <v>4</v>
      </c>
      <c r="K10">
        <f>IF(AND($H10="No",$I10&lt;&gt;"",$I10&lt;=TODAY()+2),COUNTIFS($H$2:$H10,"No",$I$2:$I10,"&lt;&gt;"&amp;"",$I$2:$I10,"&lt;="&amp;TODAY()+2),"")</f>
        <v/>
      </c>
    </row>
    <row r="11">
      <c r="A11" s="14" t="n">
        <v>46283</v>
      </c>
      <c r="B11" s="16" t="inlineStr">
        <is>
          <t>B-207</t>
        </is>
      </c>
      <c r="C11" s="13" t="inlineStr">
        <is>
          <t>Billing Question</t>
        </is>
      </c>
      <c r="D11" s="15" t="inlineStr">
        <is>
          <t>Utility overage charge disputed</t>
        </is>
      </c>
      <c r="E11" s="13" t="inlineStr">
        <is>
          <t>Low</t>
        </is>
      </c>
      <c r="F11" s="13" t="inlineStr">
        <is>
          <t>M. Torres</t>
        </is>
      </c>
      <c r="G11" s="15" t="inlineStr">
        <is>
          <t>Pulled meter history; walked through bill line by line</t>
        </is>
      </c>
      <c r="H11" s="16" t="inlineStr">
        <is>
          <t>Yes</t>
        </is>
      </c>
      <c r="I11" s="14" t="n">
        <v>46286</v>
      </c>
      <c r="J11" s="16" t="n">
        <v>3</v>
      </c>
      <c r="K11">
        <f>IF(AND($H11="No",$I11&lt;&gt;"",$I11&lt;=TODAY()+2),COUNTIFS($H$2:$H11,"No",$I$2:$I11,"&lt;&gt;"&amp;"",$I$2:$I11,"&lt;="&amp;TODAY()+2),"")</f>
        <v/>
      </c>
    </row>
    <row r="12">
      <c r="A12" s="14" t="n">
        <v>46282</v>
      </c>
      <c r="B12" s="16" t="inlineStr">
        <is>
          <t>D-105</t>
        </is>
      </c>
      <c r="C12" s="13" t="inlineStr">
        <is>
          <t>Pest Control</t>
        </is>
      </c>
      <c r="D12" s="15" t="inlineStr">
        <is>
          <t>Ants returned one week after treatment</t>
        </is>
      </c>
      <c r="E12" s="13" t="inlineStr">
        <is>
          <t>Medium</t>
        </is>
      </c>
      <c r="F12" s="13" t="inlineStr">
        <is>
          <t>Vendor: Apex</t>
        </is>
      </c>
      <c r="G12" s="15" t="inlineStr">
        <is>
          <t>Re-treatment scheduled; sealed entry point found during inspection</t>
        </is>
      </c>
      <c r="H12" s="16" t="inlineStr">
        <is>
          <t>No</t>
        </is>
      </c>
      <c r="I12" s="14" t="n">
        <v>46296</v>
      </c>
      <c r="J12" s="13" t="n"/>
      <c r="K12">
        <f>IF(AND($H12="No",$I12&lt;&gt;"",$I12&lt;=TODAY()+2),COUNTIFS($H$2:$H12,"No",$I$2:$I12,"&lt;&gt;"&amp;"",$I$2:$I12,"&lt;="&amp;TODAY()+2),"")</f>
        <v/>
      </c>
    </row>
    <row r="13">
      <c r="A13" s="14" t="n">
        <v>46281</v>
      </c>
      <c r="B13" s="16" t="inlineStr">
        <is>
          <t>A-109</t>
        </is>
      </c>
      <c r="C13" s="13" t="inlineStr">
        <is>
          <t>Maintenance Delay</t>
        </is>
      </c>
      <c r="D13" s="15" t="inlineStr">
        <is>
          <t>Toilet repair took 4 days; resident escalated</t>
        </is>
      </c>
      <c r="E13" s="13" t="inlineStr">
        <is>
          <t>Medium</t>
        </is>
      </c>
      <c r="F13" s="13" t="inlineStr">
        <is>
          <t>J. Williams</t>
        </is>
      </c>
      <c r="G13" s="15" t="inlineStr">
        <is>
          <t>Apology + timeline explanation; prioritized completion; credit offered</t>
        </is>
      </c>
      <c r="H13" s="16" t="inlineStr">
        <is>
          <t>Yes</t>
        </is>
      </c>
      <c r="I13" s="14" t="n">
        <v>46284</v>
      </c>
      <c r="J13" s="16" t="n">
        <v>4</v>
      </c>
      <c r="K13">
        <f>IF(AND($H13="No",$I13&lt;&gt;"",$I13&lt;=TODAY()+2),COUNTIFS($H$2:$H13,"No",$I$2:$I13,"&lt;&gt;"&amp;"",$I$2:$I13,"&lt;="&amp;TODAY()+2),"")</f>
        <v/>
      </c>
    </row>
    <row r="14">
      <c r="A14" s="14" t="n">
        <v>46280</v>
      </c>
      <c r="B14" s="16" t="inlineStr">
        <is>
          <t>C-322</t>
        </is>
      </c>
      <c r="C14" s="13" t="inlineStr">
        <is>
          <t>Move-In Condition</t>
        </is>
      </c>
      <c r="D14" s="15" t="inlineStr">
        <is>
          <t>Missing smoke detector in bedroom at move-in</t>
        </is>
      </c>
      <c r="E14" s="13" t="inlineStr">
        <is>
          <t>Critical</t>
        </is>
      </c>
      <c r="F14" s="13" t="inlineStr">
        <is>
          <t>J. Williams</t>
        </is>
      </c>
      <c r="G14" s="15" t="inlineStr">
        <is>
          <t>Installed within 2 hours; full unit safety re-check completed</t>
        </is>
      </c>
      <c r="H14" s="16" t="inlineStr">
        <is>
          <t>Yes</t>
        </is>
      </c>
      <c r="I14" s="14" t="n">
        <v>46283</v>
      </c>
      <c r="J14" s="16" t="n">
        <v>5</v>
      </c>
      <c r="K14">
        <f>IF(AND($H14="No",$I14&lt;&gt;"",$I14&lt;=TODAY()+2),COUNTIFS($H$2:$H14,"No",$I$2:$I14,"&lt;&gt;"&amp;"",$I$2:$I14,"&lt;="&amp;TODAY()+2),"")</f>
        <v/>
      </c>
    </row>
    <row r="15">
      <c r="A15" s="14" t="n">
        <v>46279</v>
      </c>
      <c r="B15" s="16" t="inlineStr">
        <is>
          <t>B-218</t>
        </is>
      </c>
      <c r="C15" s="13" t="inlineStr">
        <is>
          <t>Noise Complaint</t>
        </is>
      </c>
      <c r="D15" s="15" t="inlineStr">
        <is>
          <t>Bass noise during quiet hours; second report</t>
        </is>
      </c>
      <c r="E15" s="13" t="inlineStr">
        <is>
          <t>Medium</t>
        </is>
      </c>
      <c r="F15" s="13" t="inlineStr">
        <is>
          <t>M. Torres</t>
        </is>
      </c>
      <c r="G15" s="15" t="inlineStr">
        <is>
          <t>Second notice issued; documented for lease enforcement file</t>
        </is>
      </c>
      <c r="H15" s="16" t="inlineStr">
        <is>
          <t>No</t>
        </is>
      </c>
      <c r="I15" s="14" t="n">
        <v>46298</v>
      </c>
      <c r="J15" s="13" t="n"/>
      <c r="K15">
        <f>IF(AND($H15="No",$I15&lt;&gt;"",$I15&lt;=TODAY()+2),COUNTIFS($H$2:$H15,"No",$I$2:$I15,"&lt;&gt;"&amp;"",$I$2:$I15,"&lt;="&amp;TODAY()+2),"")</f>
        <v/>
      </c>
    </row>
    <row r="16">
      <c r="A16" s="14" t="n">
        <v>46277</v>
      </c>
      <c r="B16" s="16" t="inlineStr">
        <is>
          <t>D-111</t>
        </is>
      </c>
      <c r="C16" s="13" t="inlineStr">
        <is>
          <t>Amenity Access</t>
        </is>
      </c>
      <c r="D16" s="15" t="inlineStr">
        <is>
          <t>Gym fob access denied erroneously</t>
        </is>
      </c>
      <c r="E16" s="13" t="inlineStr">
        <is>
          <t>Low</t>
        </is>
      </c>
      <c r="F16" s="13" t="inlineStr">
        <is>
          <t>A. Johnson</t>
        </is>
      </c>
      <c r="G16" s="15" t="inlineStr">
        <is>
          <t>Re-synced access group in Salto; confirmed working</t>
        </is>
      </c>
      <c r="H16" s="16" t="inlineStr">
        <is>
          <t>Yes</t>
        </is>
      </c>
      <c r="I16" s="14" t="n">
        <v>46280</v>
      </c>
      <c r="J16" s="16" t="n">
        <v>5</v>
      </c>
      <c r="K16">
        <f>IF(AND($H16="No",$I16&lt;&gt;"",$I16&lt;=TODAY()+2),COUNTIFS($H$2:$H16,"No",$I$2:$I16,"&lt;&gt;"&amp;"",$I$2:$I16,"&lt;="&amp;TODAY()+2),"")</f>
        <v/>
      </c>
    </row>
    <row r="17">
      <c r="K17">
        <f>IF(AND($H17="No",$I17&lt;&gt;"",$I17&lt;=TODAY()+2),COUNTIFS($H$2:$H17,"No",$I$2:$I17,"&lt;&gt;"&amp;"",$I$2:$I17,"&lt;="&amp;TODAY()+2),"")</f>
        <v/>
      </c>
    </row>
    <row r="18">
      <c r="K18">
        <f>IF(AND($H18="No",$I18&lt;&gt;"",$I18&lt;=TODAY()+2),COUNTIFS($H$2:$H18,"No",$I$2:$I18,"&lt;&gt;"&amp;"",$I$2:$I18,"&lt;="&amp;TODAY()+2),"")</f>
        <v/>
      </c>
    </row>
    <row r="19">
      <c r="K19">
        <f>IF(AND($H19="No",$I19&lt;&gt;"",$I19&lt;=TODAY()+2),COUNTIFS($H$2:$H19,"No",$I$2:$I19,"&lt;&gt;"&amp;"",$I$2:$I19,"&lt;="&amp;TODAY()+2),"")</f>
        <v/>
      </c>
    </row>
    <row r="20">
      <c r="K20">
        <f>IF(AND($H20="No",$I20&lt;&gt;"",$I20&lt;=TODAY()+2),COUNTIFS($H$2:$H20,"No",$I$2:$I20,"&lt;&gt;"&amp;"",$I$2:$I20,"&lt;="&amp;TODAY()+2),"")</f>
        <v/>
      </c>
    </row>
    <row r="21">
      <c r="K21">
        <f>IF(AND($H21="No",$I21&lt;&gt;"",$I21&lt;=TODAY()+2),COUNTIFS($H$2:$H21,"No",$I$2:$I21,"&lt;&gt;"&amp;"",$I$2:$I21,"&lt;="&amp;TODAY()+2),"")</f>
        <v/>
      </c>
    </row>
    <row r="22">
      <c r="K22">
        <f>IF(AND($H22="No",$I22&lt;&gt;"",$I22&lt;=TODAY()+2),COUNTIFS($H$2:$H22,"No",$I$2:$I22,"&lt;&gt;"&amp;"",$I$2:$I22,"&lt;="&amp;TODAY()+2),"")</f>
        <v/>
      </c>
    </row>
    <row r="23">
      <c r="K23">
        <f>IF(AND($H23="No",$I23&lt;&gt;"",$I23&lt;=TODAY()+2),COUNTIFS($H$2:$H23,"No",$I$2:$I23,"&lt;&gt;"&amp;"",$I$2:$I23,"&lt;="&amp;TODAY()+2),"")</f>
        <v/>
      </c>
    </row>
    <row r="24">
      <c r="K24">
        <f>IF(AND($H24="No",$I24&lt;&gt;"",$I24&lt;=TODAY()+2),COUNTIFS($H$2:$H24,"No",$I$2:$I24,"&lt;&gt;"&amp;"",$I$2:$I24,"&lt;="&amp;TODAY()+2),"")</f>
        <v/>
      </c>
    </row>
    <row r="25">
      <c r="K25">
        <f>IF(AND($H25="No",$I25&lt;&gt;"",$I25&lt;=TODAY()+2),COUNTIFS($H$2:$H25,"No",$I$2:$I25,"&lt;&gt;"&amp;"",$I$2:$I25,"&lt;="&amp;TODAY()+2),"")</f>
        <v/>
      </c>
    </row>
    <row r="26">
      <c r="K26">
        <f>IF(AND($H26="No",$I26&lt;&gt;"",$I26&lt;=TODAY()+2),COUNTIFS($H$2:$H26,"No",$I$2:$I26,"&lt;&gt;"&amp;"",$I$2:$I26,"&lt;="&amp;TODAY()+2),"")</f>
        <v/>
      </c>
    </row>
    <row r="27">
      <c r="K27">
        <f>IF(AND($H27="No",$I27&lt;&gt;"",$I27&lt;=TODAY()+2),COUNTIFS($H$2:$H27,"No",$I$2:$I27,"&lt;&gt;"&amp;"",$I$2:$I27,"&lt;="&amp;TODAY()+2),"")</f>
        <v/>
      </c>
    </row>
    <row r="28">
      <c r="K28">
        <f>IF(AND($H28="No",$I28&lt;&gt;"",$I28&lt;=TODAY()+2),COUNTIFS($H$2:$H28,"No",$I$2:$I28,"&lt;&gt;"&amp;"",$I$2:$I28,"&lt;="&amp;TODAY()+2),"")</f>
        <v/>
      </c>
    </row>
    <row r="29">
      <c r="K29">
        <f>IF(AND($H29="No",$I29&lt;&gt;"",$I29&lt;=TODAY()+2),COUNTIFS($H$2:$H29,"No",$I$2:$I29,"&lt;&gt;"&amp;"",$I$2:$I29,"&lt;="&amp;TODAY()+2),"")</f>
        <v/>
      </c>
    </row>
    <row r="30">
      <c r="K30">
        <f>IF(AND($H30="No",$I30&lt;&gt;"",$I30&lt;=TODAY()+2),COUNTIFS($H$2:$H30,"No",$I$2:$I30,"&lt;&gt;"&amp;"",$I$2:$I30,"&lt;="&amp;TODAY()+2),"")</f>
        <v/>
      </c>
    </row>
    <row r="31">
      <c r="K31">
        <f>IF(AND($H31="No",$I31&lt;&gt;"",$I31&lt;=TODAY()+2),COUNTIFS($H$2:$H31,"No",$I$2:$I31,"&lt;&gt;"&amp;"",$I$2:$I31,"&lt;="&amp;TODAY()+2),"")</f>
        <v/>
      </c>
    </row>
    <row r="32">
      <c r="K32">
        <f>IF(AND($H32="No",$I32&lt;&gt;"",$I32&lt;=TODAY()+2),COUNTIFS($H$2:$H32,"No",$I$2:$I32,"&lt;&gt;"&amp;"",$I$2:$I32,"&lt;="&amp;TODAY()+2),"")</f>
        <v/>
      </c>
    </row>
    <row r="33">
      <c r="K33">
        <f>IF(AND($H33="No",$I33&lt;&gt;"",$I33&lt;=TODAY()+2),COUNTIFS($H$2:$H33,"No",$I$2:$I33,"&lt;&gt;"&amp;"",$I$2:$I33,"&lt;="&amp;TODAY()+2),"")</f>
        <v/>
      </c>
    </row>
    <row r="34">
      <c r="K34">
        <f>IF(AND($H34="No",$I34&lt;&gt;"",$I34&lt;=TODAY()+2),COUNTIFS($H$2:$H34,"No",$I$2:$I34,"&lt;&gt;"&amp;"",$I$2:$I34,"&lt;="&amp;TODAY()+2),"")</f>
        <v/>
      </c>
    </row>
    <row r="35">
      <c r="K35">
        <f>IF(AND($H35="No",$I35&lt;&gt;"",$I35&lt;=TODAY()+2),COUNTIFS($H$2:$H35,"No",$I$2:$I35,"&lt;&gt;"&amp;"",$I$2:$I35,"&lt;="&amp;TODAY()+2),"")</f>
        <v/>
      </c>
    </row>
    <row r="36">
      <c r="K36">
        <f>IF(AND($H36="No",$I36&lt;&gt;"",$I36&lt;=TODAY()+2),COUNTIFS($H$2:$H36,"No",$I$2:$I36,"&lt;&gt;"&amp;"",$I$2:$I36,"&lt;="&amp;TODAY()+2),"")</f>
        <v/>
      </c>
    </row>
    <row r="37">
      <c r="K37">
        <f>IF(AND($H37="No",$I37&lt;&gt;"",$I37&lt;=TODAY()+2),COUNTIFS($H$2:$H37,"No",$I$2:$I37,"&lt;&gt;"&amp;"",$I$2:$I37,"&lt;="&amp;TODAY()+2),"")</f>
        <v/>
      </c>
    </row>
    <row r="38">
      <c r="K38">
        <f>IF(AND($H38="No",$I38&lt;&gt;"",$I38&lt;=TODAY()+2),COUNTIFS($H$2:$H38,"No",$I$2:$I38,"&lt;&gt;"&amp;"",$I$2:$I38,"&lt;="&amp;TODAY()+2),"")</f>
        <v/>
      </c>
    </row>
    <row r="39">
      <c r="K39">
        <f>IF(AND($H39="No",$I39&lt;&gt;"",$I39&lt;=TODAY()+2),COUNTIFS($H$2:$H39,"No",$I$2:$I39,"&lt;&gt;"&amp;"",$I$2:$I39,"&lt;="&amp;TODAY()+2),"")</f>
        <v/>
      </c>
    </row>
    <row r="40">
      <c r="K40">
        <f>IF(AND($H40="No",$I40&lt;&gt;"",$I40&lt;=TODAY()+2),COUNTIFS($H$2:$H40,"No",$I$2:$I40,"&lt;&gt;"&amp;"",$I$2:$I40,"&lt;="&amp;TODAY()+2),"")</f>
        <v/>
      </c>
    </row>
    <row r="41">
      <c r="K41">
        <f>IF(AND($H41="No",$I41&lt;&gt;"",$I41&lt;=TODAY()+2),COUNTIFS($H$2:$H41,"No",$I$2:$I41,"&lt;&gt;"&amp;"",$I$2:$I41,"&lt;="&amp;TODAY()+2),"")</f>
        <v/>
      </c>
    </row>
    <row r="42">
      <c r="K42">
        <f>IF(AND($H42="No",$I42&lt;&gt;"",$I42&lt;=TODAY()+2),COUNTIFS($H$2:$H42,"No",$I$2:$I42,"&lt;&gt;"&amp;"",$I$2:$I42,"&lt;="&amp;TODAY()+2),"")</f>
        <v/>
      </c>
    </row>
    <row r="43">
      <c r="K43">
        <f>IF(AND($H43="No",$I43&lt;&gt;"",$I43&lt;=TODAY()+2),COUNTIFS($H$2:$H43,"No",$I$2:$I43,"&lt;&gt;"&amp;"",$I$2:$I43,"&lt;="&amp;TODAY()+2),"")</f>
        <v/>
      </c>
    </row>
    <row r="44">
      <c r="K44">
        <f>IF(AND($H44="No",$I44&lt;&gt;"",$I44&lt;=TODAY()+2),COUNTIFS($H$2:$H44,"No",$I$2:$I44,"&lt;&gt;"&amp;"",$I$2:$I44,"&lt;="&amp;TODAY()+2),"")</f>
        <v/>
      </c>
    </row>
    <row r="45">
      <c r="K45">
        <f>IF(AND($H45="No",$I45&lt;&gt;"",$I45&lt;=TODAY()+2),COUNTIFS($H$2:$H45,"No",$I$2:$I45,"&lt;&gt;"&amp;"",$I$2:$I45,"&lt;="&amp;TODAY()+2),"")</f>
        <v/>
      </c>
    </row>
    <row r="46">
      <c r="K46">
        <f>IF(AND($H46="No",$I46&lt;&gt;"",$I46&lt;=TODAY()+2),COUNTIFS($H$2:$H46,"No",$I$2:$I46,"&lt;&gt;"&amp;"",$I$2:$I46,"&lt;="&amp;TODAY()+2),"")</f>
        <v/>
      </c>
    </row>
    <row r="47">
      <c r="K47">
        <f>IF(AND($H47="No",$I47&lt;&gt;"",$I47&lt;=TODAY()+2),COUNTIFS($H$2:$H47,"No",$I$2:$I47,"&lt;&gt;"&amp;"",$I$2:$I47,"&lt;="&amp;TODAY()+2),"")</f>
        <v/>
      </c>
    </row>
    <row r="48">
      <c r="K48">
        <f>IF(AND($H48="No",$I48&lt;&gt;"",$I48&lt;=TODAY()+2),COUNTIFS($H$2:$H48,"No",$I$2:$I48,"&lt;&gt;"&amp;"",$I$2:$I48,"&lt;="&amp;TODAY()+2),"")</f>
        <v/>
      </c>
    </row>
    <row r="49">
      <c r="K49">
        <f>IF(AND($H49="No",$I49&lt;&gt;"",$I49&lt;=TODAY()+2),COUNTIFS($H$2:$H49,"No",$I$2:$I49,"&lt;&gt;"&amp;"",$I$2:$I49,"&lt;="&amp;TODAY()+2),"")</f>
        <v/>
      </c>
    </row>
    <row r="50">
      <c r="K50">
        <f>IF(AND($H50="No",$I50&lt;&gt;"",$I50&lt;=TODAY()+2),COUNTIFS($H$2:$H50,"No",$I$2:$I50,"&lt;&gt;"&amp;"",$I$2:$I50,"&lt;="&amp;TODAY()+2),"")</f>
        <v/>
      </c>
    </row>
    <row r="51">
      <c r="K51">
        <f>IF(AND($H51="No",$I51&lt;&gt;"",$I51&lt;=TODAY()+2),COUNTIFS($H$2:$H51,"No",$I$2:$I51,"&lt;&gt;"&amp;"",$I$2:$I51,"&lt;="&amp;TODAY()+2),"")</f>
        <v/>
      </c>
    </row>
    <row r="52">
      <c r="K52">
        <f>IF(AND($H52="No",$I52&lt;&gt;"",$I52&lt;=TODAY()+2),COUNTIFS($H$2:$H52,"No",$I$2:$I52,"&lt;&gt;"&amp;"",$I$2:$I52,"&lt;="&amp;TODAY()+2),"")</f>
        <v/>
      </c>
    </row>
    <row r="53">
      <c r="K53">
        <f>IF(AND($H53="No",$I53&lt;&gt;"",$I53&lt;=TODAY()+2),COUNTIFS($H$2:$H53,"No",$I$2:$I53,"&lt;&gt;"&amp;"",$I$2:$I53,"&lt;="&amp;TODAY()+2),"")</f>
        <v/>
      </c>
    </row>
    <row r="54">
      <c r="K54">
        <f>IF(AND($H54="No",$I54&lt;&gt;"",$I54&lt;=TODAY()+2),COUNTIFS($H$2:$H54,"No",$I$2:$I54,"&lt;&gt;"&amp;"",$I$2:$I54,"&lt;="&amp;TODAY()+2),"")</f>
        <v/>
      </c>
    </row>
    <row r="55">
      <c r="K55">
        <f>IF(AND($H55="No",$I55&lt;&gt;"",$I55&lt;=TODAY()+2),COUNTIFS($H$2:$H55,"No",$I$2:$I55,"&lt;&gt;"&amp;"",$I$2:$I55,"&lt;="&amp;TODAY()+2),"")</f>
        <v/>
      </c>
    </row>
    <row r="56">
      <c r="K56">
        <f>IF(AND($H56="No",$I56&lt;&gt;"",$I56&lt;=TODAY()+2),COUNTIFS($H$2:$H56,"No",$I$2:$I56,"&lt;&gt;"&amp;"",$I$2:$I56,"&lt;="&amp;TODAY()+2),"")</f>
        <v/>
      </c>
    </row>
    <row r="57">
      <c r="K57">
        <f>IF(AND($H57="No",$I57&lt;&gt;"",$I57&lt;=TODAY()+2),COUNTIFS($H$2:$H57,"No",$I$2:$I57,"&lt;&gt;"&amp;"",$I$2:$I57,"&lt;="&amp;TODAY()+2),"")</f>
        <v/>
      </c>
    </row>
    <row r="58">
      <c r="K58">
        <f>IF(AND($H58="No",$I58&lt;&gt;"",$I58&lt;=TODAY()+2),COUNTIFS($H$2:$H58,"No",$I$2:$I58,"&lt;&gt;"&amp;"",$I$2:$I58,"&lt;="&amp;TODAY()+2),"")</f>
        <v/>
      </c>
    </row>
    <row r="59">
      <c r="K59">
        <f>IF(AND($H59="No",$I59&lt;&gt;"",$I59&lt;=TODAY()+2),COUNTIFS($H$2:$H59,"No",$I$2:$I59,"&lt;&gt;"&amp;"",$I$2:$I59,"&lt;="&amp;TODAY()+2),"")</f>
        <v/>
      </c>
    </row>
    <row r="60">
      <c r="K60">
        <f>IF(AND($H60="No",$I60&lt;&gt;"",$I60&lt;=TODAY()+2),COUNTIFS($H$2:$H60,"No",$I$2:$I60,"&lt;&gt;"&amp;"",$I$2:$I60,"&lt;="&amp;TODAY()+2),"")</f>
        <v/>
      </c>
    </row>
    <row r="61">
      <c r="K61">
        <f>IF(AND($H61="No",$I61&lt;&gt;"",$I61&lt;=TODAY()+2),COUNTIFS($H$2:$H61,"No",$I$2:$I61,"&lt;&gt;"&amp;"",$I$2:$I61,"&lt;="&amp;TODAY()+2),"")</f>
        <v/>
      </c>
    </row>
    <row r="62">
      <c r="K62">
        <f>IF(AND($H62="No",$I62&lt;&gt;"",$I62&lt;=TODAY()+2),COUNTIFS($H$2:$H62,"No",$I$2:$I62,"&lt;&gt;"&amp;"",$I$2:$I62,"&lt;="&amp;TODAY()+2),"")</f>
        <v/>
      </c>
    </row>
    <row r="63">
      <c r="K63">
        <f>IF(AND($H63="No",$I63&lt;&gt;"",$I63&lt;=TODAY()+2),COUNTIFS($H$2:$H63,"No",$I$2:$I63,"&lt;&gt;"&amp;"",$I$2:$I63,"&lt;="&amp;TODAY()+2),"")</f>
        <v/>
      </c>
    </row>
    <row r="64">
      <c r="K64">
        <f>IF(AND($H64="No",$I64&lt;&gt;"",$I64&lt;=TODAY()+2),COUNTIFS($H$2:$H64,"No",$I$2:$I64,"&lt;&gt;"&amp;"",$I$2:$I64,"&lt;="&amp;TODAY()+2),"")</f>
        <v/>
      </c>
    </row>
    <row r="65">
      <c r="K65">
        <f>IF(AND($H65="No",$I65&lt;&gt;"",$I65&lt;=TODAY()+2),COUNTIFS($H$2:$H65,"No",$I$2:$I65,"&lt;&gt;"&amp;"",$I$2:$I65,"&lt;="&amp;TODAY()+2),"")</f>
        <v/>
      </c>
    </row>
    <row r="66">
      <c r="K66">
        <f>IF(AND($H66="No",$I66&lt;&gt;"",$I66&lt;=TODAY()+2),COUNTIFS($H$2:$H66,"No",$I$2:$I66,"&lt;&gt;"&amp;"",$I$2:$I66,"&lt;="&amp;TODAY()+2),"")</f>
        <v/>
      </c>
    </row>
    <row r="67">
      <c r="K67">
        <f>IF(AND($H67="No",$I67&lt;&gt;"",$I67&lt;=TODAY()+2),COUNTIFS($H$2:$H67,"No",$I$2:$I67,"&lt;&gt;"&amp;"",$I$2:$I67,"&lt;="&amp;TODAY()+2),"")</f>
        <v/>
      </c>
    </row>
    <row r="68">
      <c r="K68">
        <f>IF(AND($H68="No",$I68&lt;&gt;"",$I68&lt;=TODAY()+2),COUNTIFS($H$2:$H68,"No",$I$2:$I68,"&lt;&gt;"&amp;"",$I$2:$I68,"&lt;="&amp;TODAY()+2),"")</f>
        <v/>
      </c>
    </row>
    <row r="69">
      <c r="K69">
        <f>IF(AND($H69="No",$I69&lt;&gt;"",$I69&lt;=TODAY()+2),COUNTIFS($H$2:$H69,"No",$I$2:$I69,"&lt;&gt;"&amp;"",$I$2:$I69,"&lt;="&amp;TODAY()+2),"")</f>
        <v/>
      </c>
    </row>
    <row r="70">
      <c r="K70">
        <f>IF(AND($H70="No",$I70&lt;&gt;"",$I70&lt;=TODAY()+2),COUNTIFS($H$2:$H70,"No",$I$2:$I70,"&lt;&gt;"&amp;"",$I$2:$I70,"&lt;="&amp;TODAY()+2),"")</f>
        <v/>
      </c>
    </row>
    <row r="71">
      <c r="K71">
        <f>IF(AND($H71="No",$I71&lt;&gt;"",$I71&lt;=TODAY()+2),COUNTIFS($H$2:$H71,"No",$I$2:$I71,"&lt;&gt;"&amp;"",$I$2:$I71,"&lt;="&amp;TODAY()+2),"")</f>
        <v/>
      </c>
    </row>
    <row r="72">
      <c r="K72">
        <f>IF(AND($H72="No",$I72&lt;&gt;"",$I72&lt;=TODAY()+2),COUNTIFS($H$2:$H72,"No",$I$2:$I72,"&lt;&gt;"&amp;"",$I$2:$I72,"&lt;="&amp;TODAY()+2),"")</f>
        <v/>
      </c>
    </row>
    <row r="73">
      <c r="K73">
        <f>IF(AND($H73="No",$I73&lt;&gt;"",$I73&lt;=TODAY()+2),COUNTIFS($H$2:$H73,"No",$I$2:$I73,"&lt;&gt;"&amp;"",$I$2:$I73,"&lt;="&amp;TODAY()+2),"")</f>
        <v/>
      </c>
    </row>
    <row r="74">
      <c r="K74">
        <f>IF(AND($H74="No",$I74&lt;&gt;"",$I74&lt;=TODAY()+2),COUNTIFS($H$2:$H74,"No",$I$2:$I74,"&lt;&gt;"&amp;"",$I$2:$I74,"&lt;="&amp;TODAY()+2),"")</f>
        <v/>
      </c>
    </row>
    <row r="75">
      <c r="K75">
        <f>IF(AND($H75="No",$I75&lt;&gt;"",$I75&lt;=TODAY()+2),COUNTIFS($H$2:$H75,"No",$I$2:$I75,"&lt;&gt;"&amp;"",$I$2:$I75,"&lt;="&amp;TODAY()+2),"")</f>
        <v/>
      </c>
    </row>
    <row r="76">
      <c r="K76">
        <f>IF(AND($H76="No",$I76&lt;&gt;"",$I76&lt;=TODAY()+2),COUNTIFS($H$2:$H76,"No",$I$2:$I76,"&lt;&gt;"&amp;"",$I$2:$I76,"&lt;="&amp;TODAY()+2),"")</f>
        <v/>
      </c>
    </row>
    <row r="77">
      <c r="K77">
        <f>IF(AND($H77="No",$I77&lt;&gt;"",$I77&lt;=TODAY()+2),COUNTIFS($H$2:$H77,"No",$I$2:$I77,"&lt;&gt;"&amp;"",$I$2:$I77,"&lt;="&amp;TODAY()+2),"")</f>
        <v/>
      </c>
    </row>
    <row r="78">
      <c r="K78">
        <f>IF(AND($H78="No",$I78&lt;&gt;"",$I78&lt;=TODAY()+2),COUNTIFS($H$2:$H78,"No",$I$2:$I78,"&lt;&gt;"&amp;"",$I$2:$I78,"&lt;="&amp;TODAY()+2),"")</f>
        <v/>
      </c>
    </row>
    <row r="79">
      <c r="K79">
        <f>IF(AND($H79="No",$I79&lt;&gt;"",$I79&lt;=TODAY()+2),COUNTIFS($H$2:$H79,"No",$I$2:$I79,"&lt;&gt;"&amp;"",$I$2:$I79,"&lt;="&amp;TODAY()+2),"")</f>
        <v/>
      </c>
    </row>
    <row r="80">
      <c r="K80">
        <f>IF(AND($H80="No",$I80&lt;&gt;"",$I80&lt;=TODAY()+2),COUNTIFS($H$2:$H80,"No",$I$2:$I80,"&lt;&gt;"&amp;"",$I$2:$I80,"&lt;="&amp;TODAY()+2),"")</f>
        <v/>
      </c>
    </row>
    <row r="81">
      <c r="K81">
        <f>IF(AND($H81="No",$I81&lt;&gt;"",$I81&lt;=TODAY()+2),COUNTIFS($H$2:$H81,"No",$I$2:$I81,"&lt;&gt;"&amp;"",$I$2:$I81,"&lt;="&amp;TODAY()+2),"")</f>
        <v/>
      </c>
    </row>
    <row r="82">
      <c r="K82">
        <f>IF(AND($H82="No",$I82&lt;&gt;"",$I82&lt;=TODAY()+2),COUNTIFS($H$2:$H82,"No",$I$2:$I82,"&lt;&gt;"&amp;"",$I$2:$I82,"&lt;="&amp;TODAY()+2),"")</f>
        <v/>
      </c>
    </row>
    <row r="83">
      <c r="K83">
        <f>IF(AND($H83="No",$I83&lt;&gt;"",$I83&lt;=TODAY()+2),COUNTIFS($H$2:$H83,"No",$I$2:$I83,"&lt;&gt;"&amp;"",$I$2:$I83,"&lt;="&amp;TODAY()+2),"")</f>
        <v/>
      </c>
    </row>
    <row r="84">
      <c r="K84">
        <f>IF(AND($H84="No",$I84&lt;&gt;"",$I84&lt;=TODAY()+2),COUNTIFS($H$2:$H84,"No",$I$2:$I84,"&lt;&gt;"&amp;"",$I$2:$I84,"&lt;="&amp;TODAY()+2),"")</f>
        <v/>
      </c>
    </row>
    <row r="85">
      <c r="K85">
        <f>IF(AND($H85="No",$I85&lt;&gt;"",$I85&lt;=TODAY()+2),COUNTIFS($H$2:$H85,"No",$I$2:$I85,"&lt;&gt;"&amp;"",$I$2:$I85,"&lt;="&amp;TODAY()+2),"")</f>
        <v/>
      </c>
    </row>
    <row r="86">
      <c r="K86">
        <f>IF(AND($H86="No",$I86&lt;&gt;"",$I86&lt;=TODAY()+2),COUNTIFS($H$2:$H86,"No",$I$2:$I86,"&lt;&gt;"&amp;"",$I$2:$I86,"&lt;="&amp;TODAY()+2),"")</f>
        <v/>
      </c>
    </row>
    <row r="87">
      <c r="K87">
        <f>IF(AND($H87="No",$I87&lt;&gt;"",$I87&lt;=TODAY()+2),COUNTIFS($H$2:$H87,"No",$I$2:$I87,"&lt;&gt;"&amp;"",$I$2:$I87,"&lt;="&amp;TODAY()+2),"")</f>
        <v/>
      </c>
    </row>
    <row r="88">
      <c r="K88">
        <f>IF(AND($H88="No",$I88&lt;&gt;"",$I88&lt;=TODAY()+2),COUNTIFS($H$2:$H88,"No",$I$2:$I88,"&lt;&gt;"&amp;"",$I$2:$I88,"&lt;="&amp;TODAY()+2),"")</f>
        <v/>
      </c>
    </row>
    <row r="89">
      <c r="K89">
        <f>IF(AND($H89="No",$I89&lt;&gt;"",$I89&lt;=TODAY()+2),COUNTIFS($H$2:$H89,"No",$I$2:$I89,"&lt;&gt;"&amp;"",$I$2:$I89,"&lt;="&amp;TODAY()+2),"")</f>
        <v/>
      </c>
    </row>
    <row r="90">
      <c r="K90">
        <f>IF(AND($H90="No",$I90&lt;&gt;"",$I90&lt;=TODAY()+2),COUNTIFS($H$2:$H90,"No",$I$2:$I90,"&lt;&gt;"&amp;"",$I$2:$I90,"&lt;="&amp;TODAY()+2),"")</f>
        <v/>
      </c>
    </row>
    <row r="91">
      <c r="K91">
        <f>IF(AND($H91="No",$I91&lt;&gt;"",$I91&lt;=TODAY()+2),COUNTIFS($H$2:$H91,"No",$I$2:$I91,"&lt;&gt;"&amp;"",$I$2:$I91,"&lt;="&amp;TODAY()+2),"")</f>
        <v/>
      </c>
    </row>
    <row r="92">
      <c r="K92">
        <f>IF(AND($H92="No",$I92&lt;&gt;"",$I92&lt;=TODAY()+2),COUNTIFS($H$2:$H92,"No",$I$2:$I92,"&lt;&gt;"&amp;"",$I$2:$I92,"&lt;="&amp;TODAY()+2),"")</f>
        <v/>
      </c>
    </row>
    <row r="93">
      <c r="K93">
        <f>IF(AND($H93="No",$I93&lt;&gt;"",$I93&lt;=TODAY()+2),COUNTIFS($H$2:$H93,"No",$I$2:$I93,"&lt;&gt;"&amp;"",$I$2:$I93,"&lt;="&amp;TODAY()+2),"")</f>
        <v/>
      </c>
    </row>
    <row r="94">
      <c r="K94">
        <f>IF(AND($H94="No",$I94&lt;&gt;"",$I94&lt;=TODAY()+2),COUNTIFS($H$2:$H94,"No",$I$2:$I94,"&lt;&gt;"&amp;"",$I$2:$I94,"&lt;="&amp;TODAY()+2),"")</f>
        <v/>
      </c>
    </row>
    <row r="95">
      <c r="K95">
        <f>IF(AND($H95="No",$I95&lt;&gt;"",$I95&lt;=TODAY()+2),COUNTIFS($H$2:$H95,"No",$I$2:$I95,"&lt;&gt;"&amp;"",$I$2:$I95,"&lt;="&amp;TODAY()+2),"")</f>
        <v/>
      </c>
    </row>
    <row r="96">
      <c r="K96">
        <f>IF(AND($H96="No",$I96&lt;&gt;"",$I96&lt;=TODAY()+2),COUNTIFS($H$2:$H96,"No",$I$2:$I96,"&lt;&gt;"&amp;"",$I$2:$I96,"&lt;="&amp;TODAY()+2),"")</f>
        <v/>
      </c>
    </row>
    <row r="97">
      <c r="K97">
        <f>IF(AND($H97="No",$I97&lt;&gt;"",$I97&lt;=TODAY()+2),COUNTIFS($H$2:$H97,"No",$I$2:$I97,"&lt;&gt;"&amp;"",$I$2:$I97,"&lt;="&amp;TODAY()+2),"")</f>
        <v/>
      </c>
    </row>
    <row r="98">
      <c r="K98">
        <f>IF(AND($H98="No",$I98&lt;&gt;"",$I98&lt;=TODAY()+2),COUNTIFS($H$2:$H98,"No",$I$2:$I98,"&lt;&gt;"&amp;"",$I$2:$I98,"&lt;="&amp;TODAY()+2),"")</f>
        <v/>
      </c>
    </row>
    <row r="99">
      <c r="K99">
        <f>IF(AND($H99="No",$I99&lt;&gt;"",$I99&lt;=TODAY()+2),COUNTIFS($H$2:$H99,"No",$I$2:$I99,"&lt;&gt;"&amp;"",$I$2:$I99,"&lt;="&amp;TODAY()+2),"")</f>
        <v/>
      </c>
    </row>
    <row r="100">
      <c r="K100">
        <f>IF(AND($H100="No",$I100&lt;&gt;"",$I100&lt;=TODAY()+2),COUNTIFS($H$2:$H100,"No",$I$2:$I100,"&lt;&gt;"&amp;"",$I$2:$I100,"&lt;="&amp;TODAY()+2),"")</f>
        <v/>
      </c>
    </row>
    <row r="101">
      <c r="K101">
        <f>IF(AND($H101="No",$I101&lt;&gt;"",$I101&lt;=TODAY()+2),COUNTIFS($H$2:$H101,"No",$I$2:$I101,"&lt;&gt;"&amp;"",$I$2:$I101,"&lt;="&amp;TODAY()+2),"")</f>
        <v/>
      </c>
    </row>
    <row r="102">
      <c r="K102">
        <f>IF(AND($H102="No",$I102&lt;&gt;"",$I102&lt;=TODAY()+2),COUNTIFS($H$2:$H102,"No",$I$2:$I102,"&lt;&gt;"&amp;"",$I$2:$I102,"&lt;="&amp;TODAY()+2),"")</f>
        <v/>
      </c>
    </row>
    <row r="103">
      <c r="K103">
        <f>IF(AND($H103="No",$I103&lt;&gt;"",$I103&lt;=TODAY()+2),COUNTIFS($H$2:$H103,"No",$I$2:$I103,"&lt;&gt;"&amp;"",$I$2:$I103,"&lt;="&amp;TODAY()+2),"")</f>
        <v/>
      </c>
    </row>
    <row r="104">
      <c r="K104">
        <f>IF(AND($H104="No",$I104&lt;&gt;"",$I104&lt;=TODAY()+2),COUNTIFS($H$2:$H104,"No",$I$2:$I104,"&lt;&gt;"&amp;"",$I$2:$I104,"&lt;="&amp;TODAY()+2),"")</f>
        <v/>
      </c>
    </row>
    <row r="105">
      <c r="K105">
        <f>IF(AND($H105="No",$I105&lt;&gt;"",$I105&lt;=TODAY()+2),COUNTIFS($H$2:$H105,"No",$I$2:$I105,"&lt;&gt;"&amp;"",$I$2:$I105,"&lt;="&amp;TODAY()+2),"")</f>
        <v/>
      </c>
    </row>
    <row r="106">
      <c r="K106">
        <f>IF(AND($H106="No",$I106&lt;&gt;"",$I106&lt;=TODAY()+2),COUNTIFS($H$2:$H106,"No",$I$2:$I106,"&lt;&gt;"&amp;"",$I$2:$I106,"&lt;="&amp;TODAY()+2),"")</f>
        <v/>
      </c>
    </row>
    <row r="107">
      <c r="K107">
        <f>IF(AND($H107="No",$I107&lt;&gt;"",$I107&lt;=TODAY()+2),COUNTIFS($H$2:$H107,"No",$I$2:$I107,"&lt;&gt;"&amp;"",$I$2:$I107,"&lt;="&amp;TODAY()+2),"")</f>
        <v/>
      </c>
    </row>
    <row r="108">
      <c r="K108">
        <f>IF(AND($H108="No",$I108&lt;&gt;"",$I108&lt;=TODAY()+2),COUNTIFS($H$2:$H108,"No",$I$2:$I108,"&lt;&gt;"&amp;"",$I$2:$I108,"&lt;="&amp;TODAY()+2),"")</f>
        <v/>
      </c>
    </row>
    <row r="109">
      <c r="K109">
        <f>IF(AND($H109="No",$I109&lt;&gt;"",$I109&lt;=TODAY()+2),COUNTIFS($H$2:$H109,"No",$I$2:$I109,"&lt;&gt;"&amp;"",$I$2:$I109,"&lt;="&amp;TODAY()+2),"")</f>
        <v/>
      </c>
    </row>
    <row r="110">
      <c r="K110">
        <f>IF(AND($H110="No",$I110&lt;&gt;"",$I110&lt;=TODAY()+2),COUNTIFS($H$2:$H110,"No",$I$2:$I110,"&lt;&gt;"&amp;"",$I$2:$I110,"&lt;="&amp;TODAY()+2),"")</f>
        <v/>
      </c>
    </row>
    <row r="111">
      <c r="K111">
        <f>IF(AND($H111="No",$I111&lt;&gt;"",$I111&lt;=TODAY()+2),COUNTIFS($H$2:$H111,"No",$I$2:$I111,"&lt;&gt;"&amp;"",$I$2:$I111,"&lt;="&amp;TODAY()+2),"")</f>
        <v/>
      </c>
    </row>
    <row r="112">
      <c r="K112">
        <f>IF(AND($H112="No",$I112&lt;&gt;"",$I112&lt;=TODAY()+2),COUNTIFS($H$2:$H112,"No",$I$2:$I112,"&lt;&gt;"&amp;"",$I$2:$I112,"&lt;="&amp;TODAY()+2),"")</f>
        <v/>
      </c>
    </row>
    <row r="113">
      <c r="K113">
        <f>IF(AND($H113="No",$I113&lt;&gt;"",$I113&lt;=TODAY()+2),COUNTIFS($H$2:$H113,"No",$I$2:$I113,"&lt;&gt;"&amp;"",$I$2:$I113,"&lt;="&amp;TODAY()+2),"")</f>
        <v/>
      </c>
    </row>
    <row r="114">
      <c r="K114">
        <f>IF(AND($H114="No",$I114&lt;&gt;"",$I114&lt;=TODAY()+2),COUNTIFS($H$2:$H114,"No",$I$2:$I114,"&lt;&gt;"&amp;"",$I$2:$I114,"&lt;="&amp;TODAY()+2),"")</f>
        <v/>
      </c>
    </row>
    <row r="115">
      <c r="K115">
        <f>IF(AND($H115="No",$I115&lt;&gt;"",$I115&lt;=TODAY()+2),COUNTIFS($H$2:$H115,"No",$I$2:$I115,"&lt;&gt;"&amp;"",$I$2:$I115,"&lt;="&amp;TODAY()+2),"")</f>
        <v/>
      </c>
    </row>
    <row r="116">
      <c r="K116">
        <f>IF(AND($H116="No",$I116&lt;&gt;"",$I116&lt;=TODAY()+2),COUNTIFS($H$2:$H116,"No",$I$2:$I116,"&lt;&gt;"&amp;"",$I$2:$I116,"&lt;="&amp;TODAY()+2),"")</f>
        <v/>
      </c>
    </row>
    <row r="117">
      <c r="K117">
        <f>IF(AND($H117="No",$I117&lt;&gt;"",$I117&lt;=TODAY()+2),COUNTIFS($H$2:$H117,"No",$I$2:$I117,"&lt;&gt;"&amp;"",$I$2:$I117,"&lt;="&amp;TODAY()+2),"")</f>
        <v/>
      </c>
    </row>
    <row r="118">
      <c r="K118">
        <f>IF(AND($H118="No",$I118&lt;&gt;"",$I118&lt;=TODAY()+2),COUNTIFS($H$2:$H118,"No",$I$2:$I118,"&lt;&gt;"&amp;"",$I$2:$I118,"&lt;="&amp;TODAY()+2),"")</f>
        <v/>
      </c>
    </row>
    <row r="119">
      <c r="K119">
        <f>IF(AND($H119="No",$I119&lt;&gt;"",$I119&lt;=TODAY()+2),COUNTIFS($H$2:$H119,"No",$I$2:$I119,"&lt;&gt;"&amp;"",$I$2:$I119,"&lt;="&amp;TODAY()+2),"")</f>
        <v/>
      </c>
    </row>
    <row r="120">
      <c r="K120">
        <f>IF(AND($H120="No",$I120&lt;&gt;"",$I120&lt;=TODAY()+2),COUNTIFS($H$2:$H120,"No",$I$2:$I120,"&lt;&gt;"&amp;"",$I$2:$I120,"&lt;="&amp;TODAY()+2),"")</f>
        <v/>
      </c>
    </row>
    <row r="121">
      <c r="K121">
        <f>IF(AND($H121="No",$I121&lt;&gt;"",$I121&lt;=TODAY()+2),COUNTIFS($H$2:$H121,"No",$I$2:$I121,"&lt;&gt;"&amp;"",$I$2:$I121,"&lt;="&amp;TODAY()+2),"")</f>
        <v/>
      </c>
    </row>
    <row r="122">
      <c r="K122">
        <f>IF(AND($H122="No",$I122&lt;&gt;"",$I122&lt;=TODAY()+2),COUNTIFS($H$2:$H122,"No",$I$2:$I122,"&lt;&gt;"&amp;"",$I$2:$I122,"&lt;="&amp;TODAY()+2),"")</f>
        <v/>
      </c>
    </row>
    <row r="123">
      <c r="K123">
        <f>IF(AND($H123="No",$I123&lt;&gt;"",$I123&lt;=TODAY()+2),COUNTIFS($H$2:$H123,"No",$I$2:$I123,"&lt;&gt;"&amp;"",$I$2:$I123,"&lt;="&amp;TODAY()+2),"")</f>
        <v/>
      </c>
    </row>
    <row r="124">
      <c r="K124">
        <f>IF(AND($H124="No",$I124&lt;&gt;"",$I124&lt;=TODAY()+2),COUNTIFS($H$2:$H124,"No",$I$2:$I124,"&lt;&gt;"&amp;"",$I$2:$I124,"&lt;="&amp;TODAY()+2),"")</f>
        <v/>
      </c>
    </row>
    <row r="125">
      <c r="K125">
        <f>IF(AND($H125="No",$I125&lt;&gt;"",$I125&lt;=TODAY()+2),COUNTIFS($H$2:$H125,"No",$I$2:$I125,"&lt;&gt;"&amp;"",$I$2:$I125,"&lt;="&amp;TODAY()+2),"")</f>
        <v/>
      </c>
    </row>
    <row r="126">
      <c r="K126">
        <f>IF(AND($H126="No",$I126&lt;&gt;"",$I126&lt;=TODAY()+2),COUNTIFS($H$2:$H126,"No",$I$2:$I126,"&lt;&gt;"&amp;"",$I$2:$I126,"&lt;="&amp;TODAY()+2),"")</f>
        <v/>
      </c>
    </row>
    <row r="127">
      <c r="K127">
        <f>IF(AND($H127="No",$I127&lt;&gt;"",$I127&lt;=TODAY()+2),COUNTIFS($H$2:$H127,"No",$I$2:$I127,"&lt;&gt;"&amp;"",$I$2:$I127,"&lt;="&amp;TODAY()+2),"")</f>
        <v/>
      </c>
    </row>
    <row r="128">
      <c r="K128">
        <f>IF(AND($H128="No",$I128&lt;&gt;"",$I128&lt;=TODAY()+2),COUNTIFS($H$2:$H128,"No",$I$2:$I128,"&lt;&gt;"&amp;"",$I$2:$I128,"&lt;="&amp;TODAY()+2),"")</f>
        <v/>
      </c>
    </row>
    <row r="129">
      <c r="K129">
        <f>IF(AND($H129="No",$I129&lt;&gt;"",$I129&lt;=TODAY()+2),COUNTIFS($H$2:$H129,"No",$I$2:$I129,"&lt;&gt;"&amp;"",$I$2:$I129,"&lt;="&amp;TODAY()+2),"")</f>
        <v/>
      </c>
    </row>
    <row r="130">
      <c r="K130">
        <f>IF(AND($H130="No",$I130&lt;&gt;"",$I130&lt;=TODAY()+2),COUNTIFS($H$2:$H130,"No",$I$2:$I130,"&lt;&gt;"&amp;"",$I$2:$I130,"&lt;="&amp;TODAY()+2),"")</f>
        <v/>
      </c>
    </row>
    <row r="131">
      <c r="K131">
        <f>IF(AND($H131="No",$I131&lt;&gt;"",$I131&lt;=TODAY()+2),COUNTIFS($H$2:$H131,"No",$I$2:$I131,"&lt;&gt;"&amp;"",$I$2:$I131,"&lt;="&amp;TODAY()+2),"")</f>
        <v/>
      </c>
    </row>
    <row r="132">
      <c r="K132">
        <f>IF(AND($H132="No",$I132&lt;&gt;"",$I132&lt;=TODAY()+2),COUNTIFS($H$2:$H132,"No",$I$2:$I132,"&lt;&gt;"&amp;"",$I$2:$I132,"&lt;="&amp;TODAY()+2),"")</f>
        <v/>
      </c>
    </row>
    <row r="133">
      <c r="K133">
        <f>IF(AND($H133="No",$I133&lt;&gt;"",$I133&lt;=TODAY()+2),COUNTIFS($H$2:$H133,"No",$I$2:$I133,"&lt;&gt;"&amp;"",$I$2:$I133,"&lt;="&amp;TODAY()+2),"")</f>
        <v/>
      </c>
    </row>
    <row r="134">
      <c r="K134">
        <f>IF(AND($H134="No",$I134&lt;&gt;"",$I134&lt;=TODAY()+2),COUNTIFS($H$2:$H134,"No",$I$2:$I134,"&lt;&gt;"&amp;"",$I$2:$I134,"&lt;="&amp;TODAY()+2),"")</f>
        <v/>
      </c>
    </row>
    <row r="135">
      <c r="K135">
        <f>IF(AND($H135="No",$I135&lt;&gt;"",$I135&lt;=TODAY()+2),COUNTIFS($H$2:$H135,"No",$I$2:$I135,"&lt;&gt;"&amp;"",$I$2:$I135,"&lt;="&amp;TODAY()+2),"")</f>
        <v/>
      </c>
    </row>
    <row r="136">
      <c r="K136">
        <f>IF(AND($H136="No",$I136&lt;&gt;"",$I136&lt;=TODAY()+2),COUNTIFS($H$2:$H136,"No",$I$2:$I136,"&lt;&gt;"&amp;"",$I$2:$I136,"&lt;="&amp;TODAY()+2),"")</f>
        <v/>
      </c>
    </row>
    <row r="137">
      <c r="K137">
        <f>IF(AND($H137="No",$I137&lt;&gt;"",$I137&lt;=TODAY()+2),COUNTIFS($H$2:$H137,"No",$I$2:$I137,"&lt;&gt;"&amp;"",$I$2:$I137,"&lt;="&amp;TODAY()+2),"")</f>
        <v/>
      </c>
    </row>
    <row r="138">
      <c r="K138">
        <f>IF(AND($H138="No",$I138&lt;&gt;"",$I138&lt;=TODAY()+2),COUNTIFS($H$2:$H138,"No",$I$2:$I138,"&lt;&gt;"&amp;"",$I$2:$I138,"&lt;="&amp;TODAY()+2),"")</f>
        <v/>
      </c>
    </row>
    <row r="139">
      <c r="K139">
        <f>IF(AND($H139="No",$I139&lt;&gt;"",$I139&lt;=TODAY()+2),COUNTIFS($H$2:$H139,"No",$I$2:$I139,"&lt;&gt;"&amp;"",$I$2:$I139,"&lt;="&amp;TODAY()+2),"")</f>
        <v/>
      </c>
    </row>
    <row r="140">
      <c r="K140">
        <f>IF(AND($H140="No",$I140&lt;&gt;"",$I140&lt;=TODAY()+2),COUNTIFS($H$2:$H140,"No",$I$2:$I140,"&lt;&gt;"&amp;"",$I$2:$I140,"&lt;="&amp;TODAY()+2),"")</f>
        <v/>
      </c>
    </row>
    <row r="141">
      <c r="K141">
        <f>IF(AND($H141="No",$I141&lt;&gt;"",$I141&lt;=TODAY()+2),COUNTIFS($H$2:$H141,"No",$I$2:$I141,"&lt;&gt;"&amp;"",$I$2:$I141,"&lt;="&amp;TODAY()+2),"")</f>
        <v/>
      </c>
    </row>
    <row r="142">
      <c r="K142">
        <f>IF(AND($H142="No",$I142&lt;&gt;"",$I142&lt;=TODAY()+2),COUNTIFS($H$2:$H142,"No",$I$2:$I142,"&lt;&gt;"&amp;"",$I$2:$I142,"&lt;="&amp;TODAY()+2),"")</f>
        <v/>
      </c>
    </row>
    <row r="143">
      <c r="K143">
        <f>IF(AND($H143="No",$I143&lt;&gt;"",$I143&lt;=TODAY()+2),COUNTIFS($H$2:$H143,"No",$I$2:$I143,"&lt;&gt;"&amp;"",$I$2:$I143,"&lt;="&amp;TODAY()+2),"")</f>
        <v/>
      </c>
    </row>
    <row r="144">
      <c r="K144">
        <f>IF(AND($H144="No",$I144&lt;&gt;"",$I144&lt;=TODAY()+2),COUNTIFS($H$2:$H144,"No",$I$2:$I144,"&lt;&gt;"&amp;"",$I$2:$I144,"&lt;="&amp;TODAY()+2),"")</f>
        <v/>
      </c>
    </row>
    <row r="145">
      <c r="K145">
        <f>IF(AND($H145="No",$I145&lt;&gt;"",$I145&lt;=TODAY()+2),COUNTIFS($H$2:$H145,"No",$I$2:$I145,"&lt;&gt;"&amp;"",$I$2:$I145,"&lt;="&amp;TODAY()+2),"")</f>
        <v/>
      </c>
    </row>
    <row r="146">
      <c r="K146">
        <f>IF(AND($H146="No",$I146&lt;&gt;"",$I146&lt;=TODAY()+2),COUNTIFS($H$2:$H146,"No",$I$2:$I146,"&lt;&gt;"&amp;"",$I$2:$I146,"&lt;="&amp;TODAY()+2),"")</f>
        <v/>
      </c>
    </row>
    <row r="147">
      <c r="K147">
        <f>IF(AND($H147="No",$I147&lt;&gt;"",$I147&lt;=TODAY()+2),COUNTIFS($H$2:$H147,"No",$I$2:$I147,"&lt;&gt;"&amp;"",$I$2:$I147,"&lt;="&amp;TODAY()+2),"")</f>
        <v/>
      </c>
    </row>
    <row r="148">
      <c r="K148">
        <f>IF(AND($H148="No",$I148&lt;&gt;"",$I148&lt;=TODAY()+2),COUNTIFS($H$2:$H148,"No",$I$2:$I148,"&lt;&gt;"&amp;"",$I$2:$I148,"&lt;="&amp;TODAY()+2),"")</f>
        <v/>
      </c>
    </row>
    <row r="149">
      <c r="K149">
        <f>IF(AND($H149="No",$I149&lt;&gt;"",$I149&lt;=TODAY()+2),COUNTIFS($H$2:$H149,"No",$I$2:$I149,"&lt;&gt;"&amp;"",$I$2:$I149,"&lt;="&amp;TODAY()+2),"")</f>
        <v/>
      </c>
    </row>
    <row r="150">
      <c r="K150">
        <f>IF(AND($H150="No",$I150&lt;&gt;"",$I150&lt;=TODAY()+2),COUNTIFS($H$2:$H150,"No",$I$2:$I150,"&lt;&gt;"&amp;"",$I$2:$I150,"&lt;="&amp;TODAY()+2),"")</f>
        <v/>
      </c>
    </row>
    <row r="151">
      <c r="K151">
        <f>IF(AND($H151="No",$I151&lt;&gt;"",$I151&lt;=TODAY()+2),COUNTIFS($H$2:$H151,"No",$I$2:$I151,"&lt;&gt;"&amp;"",$I$2:$I151,"&lt;="&amp;TODAY()+2),"")</f>
        <v/>
      </c>
    </row>
    <row r="152">
      <c r="K152">
        <f>IF(AND($H152="No",$I152&lt;&gt;"",$I152&lt;=TODAY()+2),COUNTIFS($H$2:$H152,"No",$I$2:$I152,"&lt;&gt;"&amp;"",$I$2:$I152,"&lt;="&amp;TODAY()+2),"")</f>
        <v/>
      </c>
    </row>
    <row r="153">
      <c r="K153">
        <f>IF(AND($H153="No",$I153&lt;&gt;"",$I153&lt;=TODAY()+2),COUNTIFS($H$2:$H153,"No",$I$2:$I153,"&lt;&gt;"&amp;"",$I$2:$I153,"&lt;="&amp;TODAY()+2),"")</f>
        <v/>
      </c>
    </row>
    <row r="154">
      <c r="K154">
        <f>IF(AND($H154="No",$I154&lt;&gt;"",$I154&lt;=TODAY()+2),COUNTIFS($H$2:$H154,"No",$I$2:$I154,"&lt;&gt;"&amp;"",$I$2:$I154,"&lt;="&amp;TODAY()+2),"")</f>
        <v/>
      </c>
    </row>
    <row r="155">
      <c r="K155">
        <f>IF(AND($H155="No",$I155&lt;&gt;"",$I155&lt;=TODAY()+2),COUNTIFS($H$2:$H155,"No",$I$2:$I155,"&lt;&gt;"&amp;"",$I$2:$I155,"&lt;="&amp;TODAY()+2),"")</f>
        <v/>
      </c>
    </row>
    <row r="156">
      <c r="K156">
        <f>IF(AND($H156="No",$I156&lt;&gt;"",$I156&lt;=TODAY()+2),COUNTIFS($H$2:$H156,"No",$I$2:$I156,"&lt;&gt;"&amp;"",$I$2:$I156,"&lt;="&amp;TODAY()+2),"")</f>
        <v/>
      </c>
    </row>
    <row r="157">
      <c r="K157">
        <f>IF(AND($H157="No",$I157&lt;&gt;"",$I157&lt;=TODAY()+2),COUNTIFS($H$2:$H157,"No",$I$2:$I157,"&lt;&gt;"&amp;"",$I$2:$I157,"&lt;="&amp;TODAY()+2),"")</f>
        <v/>
      </c>
    </row>
    <row r="158">
      <c r="K158">
        <f>IF(AND($H158="No",$I158&lt;&gt;"",$I158&lt;=TODAY()+2),COUNTIFS($H$2:$H158,"No",$I$2:$I158,"&lt;&gt;"&amp;"",$I$2:$I158,"&lt;="&amp;TODAY()+2),"")</f>
        <v/>
      </c>
    </row>
    <row r="159">
      <c r="K159">
        <f>IF(AND($H159="No",$I159&lt;&gt;"",$I159&lt;=TODAY()+2),COUNTIFS($H$2:$H159,"No",$I$2:$I159,"&lt;&gt;"&amp;"",$I$2:$I159,"&lt;="&amp;TODAY()+2),"")</f>
        <v/>
      </c>
    </row>
    <row r="160">
      <c r="K160">
        <f>IF(AND($H160="No",$I160&lt;&gt;"",$I160&lt;=TODAY()+2),COUNTIFS($H$2:$H160,"No",$I$2:$I160,"&lt;&gt;"&amp;"",$I$2:$I160,"&lt;="&amp;TODAY()+2),"")</f>
        <v/>
      </c>
    </row>
    <row r="161">
      <c r="K161">
        <f>IF(AND($H161="No",$I161&lt;&gt;"",$I161&lt;=TODAY()+2),COUNTIFS($H$2:$H161,"No",$I$2:$I161,"&lt;&gt;"&amp;"",$I$2:$I161,"&lt;="&amp;TODAY()+2),"")</f>
        <v/>
      </c>
    </row>
    <row r="162">
      <c r="K162">
        <f>IF(AND($H162="No",$I162&lt;&gt;"",$I162&lt;=TODAY()+2),COUNTIFS($H$2:$H162,"No",$I$2:$I162,"&lt;&gt;"&amp;"",$I$2:$I162,"&lt;="&amp;TODAY()+2),"")</f>
        <v/>
      </c>
    </row>
    <row r="163">
      <c r="K163">
        <f>IF(AND($H163="No",$I163&lt;&gt;"",$I163&lt;=TODAY()+2),COUNTIFS($H$2:$H163,"No",$I$2:$I163,"&lt;&gt;"&amp;"",$I$2:$I163,"&lt;="&amp;TODAY()+2),"")</f>
        <v/>
      </c>
    </row>
    <row r="164">
      <c r="K164">
        <f>IF(AND($H164="No",$I164&lt;&gt;"",$I164&lt;=TODAY()+2),COUNTIFS($H$2:$H164,"No",$I$2:$I164,"&lt;&gt;"&amp;"",$I$2:$I164,"&lt;="&amp;TODAY()+2),"")</f>
        <v/>
      </c>
    </row>
    <row r="165">
      <c r="K165">
        <f>IF(AND($H165="No",$I165&lt;&gt;"",$I165&lt;=TODAY()+2),COUNTIFS($H$2:$H165,"No",$I$2:$I165,"&lt;&gt;"&amp;"",$I$2:$I165,"&lt;="&amp;TODAY()+2),"")</f>
        <v/>
      </c>
    </row>
    <row r="166">
      <c r="K166">
        <f>IF(AND($H166="No",$I166&lt;&gt;"",$I166&lt;=TODAY()+2),COUNTIFS($H$2:$H166,"No",$I$2:$I166,"&lt;&gt;"&amp;"",$I$2:$I166,"&lt;="&amp;TODAY()+2),"")</f>
        <v/>
      </c>
    </row>
    <row r="167">
      <c r="K167">
        <f>IF(AND($H167="No",$I167&lt;&gt;"",$I167&lt;=TODAY()+2),COUNTIFS($H$2:$H167,"No",$I$2:$I167,"&lt;&gt;"&amp;"",$I$2:$I167,"&lt;="&amp;TODAY()+2),"")</f>
        <v/>
      </c>
    </row>
    <row r="168">
      <c r="K168">
        <f>IF(AND($H168="No",$I168&lt;&gt;"",$I168&lt;=TODAY()+2),COUNTIFS($H$2:$H168,"No",$I$2:$I168,"&lt;&gt;"&amp;"",$I$2:$I168,"&lt;="&amp;TODAY()+2),"")</f>
        <v/>
      </c>
    </row>
    <row r="169">
      <c r="K169">
        <f>IF(AND($H169="No",$I169&lt;&gt;"",$I169&lt;=TODAY()+2),COUNTIFS($H$2:$H169,"No",$I$2:$I169,"&lt;&gt;"&amp;"",$I$2:$I169,"&lt;="&amp;TODAY()+2),"")</f>
        <v/>
      </c>
    </row>
    <row r="170">
      <c r="K170">
        <f>IF(AND($H170="No",$I170&lt;&gt;"",$I170&lt;=TODAY()+2),COUNTIFS($H$2:$H170,"No",$I$2:$I170,"&lt;&gt;"&amp;"",$I$2:$I170,"&lt;="&amp;TODAY()+2),"")</f>
        <v/>
      </c>
    </row>
    <row r="171">
      <c r="K171">
        <f>IF(AND($H171="No",$I171&lt;&gt;"",$I171&lt;=TODAY()+2),COUNTIFS($H$2:$H171,"No",$I$2:$I171,"&lt;&gt;"&amp;"",$I$2:$I171,"&lt;="&amp;TODAY()+2),"")</f>
        <v/>
      </c>
    </row>
    <row r="172">
      <c r="K172">
        <f>IF(AND($H172="No",$I172&lt;&gt;"",$I172&lt;=TODAY()+2),COUNTIFS($H$2:$H172,"No",$I$2:$I172,"&lt;&gt;"&amp;"",$I$2:$I172,"&lt;="&amp;TODAY()+2),"")</f>
        <v/>
      </c>
    </row>
    <row r="173">
      <c r="K173">
        <f>IF(AND($H173="No",$I173&lt;&gt;"",$I173&lt;=TODAY()+2),COUNTIFS($H$2:$H173,"No",$I$2:$I173,"&lt;&gt;"&amp;"",$I$2:$I173,"&lt;="&amp;TODAY()+2),"")</f>
        <v/>
      </c>
    </row>
    <row r="174">
      <c r="K174">
        <f>IF(AND($H174="No",$I174&lt;&gt;"",$I174&lt;=TODAY()+2),COUNTIFS($H$2:$H174,"No",$I$2:$I174,"&lt;&gt;"&amp;"",$I$2:$I174,"&lt;="&amp;TODAY()+2),"")</f>
        <v/>
      </c>
    </row>
    <row r="175">
      <c r="K175">
        <f>IF(AND($H175="No",$I175&lt;&gt;"",$I175&lt;=TODAY()+2),COUNTIFS($H$2:$H175,"No",$I$2:$I175,"&lt;&gt;"&amp;"",$I$2:$I175,"&lt;="&amp;TODAY()+2),"")</f>
        <v/>
      </c>
    </row>
    <row r="176">
      <c r="K176">
        <f>IF(AND($H176="No",$I176&lt;&gt;"",$I176&lt;=TODAY()+2),COUNTIFS($H$2:$H176,"No",$I$2:$I176,"&lt;&gt;"&amp;"",$I$2:$I176,"&lt;="&amp;TODAY()+2),"")</f>
        <v/>
      </c>
    </row>
    <row r="177">
      <c r="K177">
        <f>IF(AND($H177="No",$I177&lt;&gt;"",$I177&lt;=TODAY()+2),COUNTIFS($H$2:$H177,"No",$I$2:$I177,"&lt;&gt;"&amp;"",$I$2:$I177,"&lt;="&amp;TODAY()+2),"")</f>
        <v/>
      </c>
    </row>
    <row r="178">
      <c r="K178">
        <f>IF(AND($H178="No",$I178&lt;&gt;"",$I178&lt;=TODAY()+2),COUNTIFS($H$2:$H178,"No",$I$2:$I178,"&lt;&gt;"&amp;"",$I$2:$I178,"&lt;="&amp;TODAY()+2),"")</f>
        <v/>
      </c>
    </row>
    <row r="179">
      <c r="K179">
        <f>IF(AND($H179="No",$I179&lt;&gt;"",$I179&lt;=TODAY()+2),COUNTIFS($H$2:$H179,"No",$I$2:$I179,"&lt;&gt;"&amp;"",$I$2:$I179,"&lt;="&amp;TODAY()+2),"")</f>
        <v/>
      </c>
    </row>
    <row r="180">
      <c r="K180">
        <f>IF(AND($H180="No",$I180&lt;&gt;"",$I180&lt;=TODAY()+2),COUNTIFS($H$2:$H180,"No",$I$2:$I180,"&lt;&gt;"&amp;"",$I$2:$I180,"&lt;="&amp;TODAY()+2),"")</f>
        <v/>
      </c>
    </row>
    <row r="181">
      <c r="K181">
        <f>IF(AND($H181="No",$I181&lt;&gt;"",$I181&lt;=TODAY()+2),COUNTIFS($H$2:$H181,"No",$I$2:$I181,"&lt;&gt;"&amp;"",$I$2:$I181,"&lt;="&amp;TODAY()+2),"")</f>
        <v/>
      </c>
    </row>
    <row r="182">
      <c r="K182">
        <f>IF(AND($H182="No",$I182&lt;&gt;"",$I182&lt;=TODAY()+2),COUNTIFS($H$2:$H182,"No",$I$2:$I182,"&lt;&gt;"&amp;"",$I$2:$I182,"&lt;="&amp;TODAY()+2),"")</f>
        <v/>
      </c>
    </row>
    <row r="183">
      <c r="K183">
        <f>IF(AND($H183="No",$I183&lt;&gt;"",$I183&lt;=TODAY()+2),COUNTIFS($H$2:$H183,"No",$I$2:$I183,"&lt;&gt;"&amp;"",$I$2:$I183,"&lt;="&amp;TODAY()+2),"")</f>
        <v/>
      </c>
    </row>
    <row r="184">
      <c r="K184">
        <f>IF(AND($H184="No",$I184&lt;&gt;"",$I184&lt;=TODAY()+2),COUNTIFS($H$2:$H184,"No",$I$2:$I184,"&lt;&gt;"&amp;"",$I$2:$I184,"&lt;="&amp;TODAY()+2),"")</f>
        <v/>
      </c>
    </row>
    <row r="185">
      <c r="K185">
        <f>IF(AND($H185="No",$I185&lt;&gt;"",$I185&lt;=TODAY()+2),COUNTIFS($H$2:$H185,"No",$I$2:$I185,"&lt;&gt;"&amp;"",$I$2:$I185,"&lt;="&amp;TODAY()+2),"")</f>
        <v/>
      </c>
    </row>
    <row r="186">
      <c r="K186">
        <f>IF(AND($H186="No",$I186&lt;&gt;"",$I186&lt;=TODAY()+2),COUNTIFS($H$2:$H186,"No",$I$2:$I186,"&lt;&gt;"&amp;"",$I$2:$I186,"&lt;="&amp;TODAY()+2),"")</f>
        <v/>
      </c>
    </row>
    <row r="187">
      <c r="K187">
        <f>IF(AND($H187="No",$I187&lt;&gt;"",$I187&lt;=TODAY()+2),COUNTIFS($H$2:$H187,"No",$I$2:$I187,"&lt;&gt;"&amp;"",$I$2:$I187,"&lt;="&amp;TODAY()+2),"")</f>
        <v/>
      </c>
    </row>
    <row r="188">
      <c r="K188">
        <f>IF(AND($H188="No",$I188&lt;&gt;"",$I188&lt;=TODAY()+2),COUNTIFS($H$2:$H188,"No",$I$2:$I188,"&lt;&gt;"&amp;"",$I$2:$I188,"&lt;="&amp;TODAY()+2),"")</f>
        <v/>
      </c>
    </row>
    <row r="189">
      <c r="K189">
        <f>IF(AND($H189="No",$I189&lt;&gt;"",$I189&lt;=TODAY()+2),COUNTIFS($H$2:$H189,"No",$I$2:$I189,"&lt;&gt;"&amp;"",$I$2:$I189,"&lt;="&amp;TODAY()+2),"")</f>
        <v/>
      </c>
    </row>
    <row r="190">
      <c r="K190">
        <f>IF(AND($H190="No",$I190&lt;&gt;"",$I190&lt;=TODAY()+2),COUNTIFS($H$2:$H190,"No",$I$2:$I190,"&lt;&gt;"&amp;"",$I$2:$I190,"&lt;="&amp;TODAY()+2),"")</f>
        <v/>
      </c>
    </row>
    <row r="191">
      <c r="K191">
        <f>IF(AND($H191="No",$I191&lt;&gt;"",$I191&lt;=TODAY()+2),COUNTIFS($H$2:$H191,"No",$I$2:$I191,"&lt;&gt;"&amp;"",$I$2:$I191,"&lt;="&amp;TODAY()+2),"")</f>
        <v/>
      </c>
    </row>
    <row r="192">
      <c r="K192">
        <f>IF(AND($H192="No",$I192&lt;&gt;"",$I192&lt;=TODAY()+2),COUNTIFS($H$2:$H192,"No",$I$2:$I192,"&lt;&gt;"&amp;"",$I$2:$I192,"&lt;="&amp;TODAY()+2),"")</f>
        <v/>
      </c>
    </row>
    <row r="193">
      <c r="K193">
        <f>IF(AND($H193="No",$I193&lt;&gt;"",$I193&lt;=TODAY()+2),COUNTIFS($H$2:$H193,"No",$I$2:$I193,"&lt;&gt;"&amp;"",$I$2:$I193,"&lt;="&amp;TODAY()+2),"")</f>
        <v/>
      </c>
    </row>
    <row r="194">
      <c r="K194">
        <f>IF(AND($H194="No",$I194&lt;&gt;"",$I194&lt;=TODAY()+2),COUNTIFS($H$2:$H194,"No",$I$2:$I194,"&lt;&gt;"&amp;"",$I$2:$I194,"&lt;="&amp;TODAY()+2),"")</f>
        <v/>
      </c>
    </row>
    <row r="195">
      <c r="K195">
        <f>IF(AND($H195="No",$I195&lt;&gt;"",$I195&lt;=TODAY()+2),COUNTIFS($H$2:$H195,"No",$I$2:$I195,"&lt;&gt;"&amp;"",$I$2:$I195,"&lt;="&amp;TODAY()+2),"")</f>
        <v/>
      </c>
    </row>
    <row r="196">
      <c r="K196">
        <f>IF(AND($H196="No",$I196&lt;&gt;"",$I196&lt;=TODAY()+2),COUNTIFS($H$2:$H196,"No",$I$2:$I196,"&lt;&gt;"&amp;"",$I$2:$I196,"&lt;="&amp;TODAY()+2),"")</f>
        <v/>
      </c>
    </row>
    <row r="197">
      <c r="K197">
        <f>IF(AND($H197="No",$I197&lt;&gt;"",$I197&lt;=TODAY()+2),COUNTIFS($H$2:$H197,"No",$I$2:$I197,"&lt;&gt;"&amp;"",$I$2:$I197,"&lt;="&amp;TODAY()+2),"")</f>
        <v/>
      </c>
    </row>
    <row r="198">
      <c r="K198">
        <f>IF(AND($H198="No",$I198&lt;&gt;"",$I198&lt;=TODAY()+2),COUNTIFS($H$2:$H198,"No",$I$2:$I198,"&lt;&gt;"&amp;"",$I$2:$I198,"&lt;="&amp;TODAY()+2),"")</f>
        <v/>
      </c>
    </row>
    <row r="199">
      <c r="K199">
        <f>IF(AND($H199="No",$I199&lt;&gt;"",$I199&lt;=TODAY()+2),COUNTIFS($H$2:$H199,"No",$I$2:$I199,"&lt;&gt;"&amp;"",$I$2:$I199,"&lt;="&amp;TODAY()+2),"")</f>
        <v/>
      </c>
    </row>
    <row r="200">
      <c r="K200">
        <f>IF(AND($H200="No",$I200&lt;&gt;"",$I200&lt;=TODAY()+2),COUNTIFS($H$2:$H200,"No",$I$2:$I200,"&lt;&gt;"&amp;"",$I$2:$I200,"&lt;="&amp;TODAY()+2),"")</f>
        <v/>
      </c>
    </row>
    <row r="201">
      <c r="K201">
        <f>IF(AND($H201="No",$I201&lt;&gt;"",$I201&lt;=TODAY()+2),COUNTIFS($H$2:$H201,"No",$I$2:$I201,"&lt;&gt;"&amp;"",$I$2:$I201,"&lt;="&amp;TODAY()+2),"")</f>
        <v/>
      </c>
    </row>
    <row r="202">
      <c r="K202">
        <f>IF(AND($H202="No",$I202&lt;&gt;"",$I202&lt;=TODAY()+2),COUNTIFS($H$2:$H202,"No",$I$2:$I202,"&lt;&gt;"&amp;"",$I$2:$I202,"&lt;="&amp;TODAY()+2),"")</f>
        <v/>
      </c>
    </row>
    <row r="203">
      <c r="K203">
        <f>IF(AND($H203="No",$I203&lt;&gt;"",$I203&lt;=TODAY()+2),COUNTIFS($H$2:$H203,"No",$I$2:$I203,"&lt;&gt;"&amp;"",$I$2:$I203,"&lt;="&amp;TODAY()+2),"")</f>
        <v/>
      </c>
    </row>
    <row r="204">
      <c r="K204">
        <f>IF(AND($H204="No",$I204&lt;&gt;"",$I204&lt;=TODAY()+2),COUNTIFS($H$2:$H204,"No",$I$2:$I204,"&lt;&gt;"&amp;"",$I$2:$I204,"&lt;="&amp;TODAY()+2),"")</f>
        <v/>
      </c>
    </row>
    <row r="205">
      <c r="K205">
        <f>IF(AND($H205="No",$I205&lt;&gt;"",$I205&lt;=TODAY()+2),COUNTIFS($H$2:$H205,"No",$I$2:$I205,"&lt;&gt;"&amp;"",$I$2:$I205,"&lt;="&amp;TODAY()+2),"")</f>
        <v/>
      </c>
    </row>
    <row r="206">
      <c r="K206">
        <f>IF(AND($H206="No",$I206&lt;&gt;"",$I206&lt;=TODAY()+2),COUNTIFS($H$2:$H206,"No",$I$2:$I206,"&lt;&gt;"&amp;"",$I$2:$I206,"&lt;="&amp;TODAY()+2),"")</f>
        <v/>
      </c>
    </row>
    <row r="207">
      <c r="K207">
        <f>IF(AND($H207="No",$I207&lt;&gt;"",$I207&lt;=TODAY()+2),COUNTIFS($H$2:$H207,"No",$I$2:$I207,"&lt;&gt;"&amp;"",$I$2:$I207,"&lt;="&amp;TODAY()+2),"")</f>
        <v/>
      </c>
    </row>
    <row r="208">
      <c r="K208">
        <f>IF(AND($H208="No",$I208&lt;&gt;"",$I208&lt;=TODAY()+2),COUNTIFS($H$2:$H208,"No",$I$2:$I208,"&lt;&gt;"&amp;"",$I$2:$I208,"&lt;="&amp;TODAY()+2),"")</f>
        <v/>
      </c>
    </row>
    <row r="209">
      <c r="K209">
        <f>IF(AND($H209="No",$I209&lt;&gt;"",$I209&lt;=TODAY()+2),COUNTIFS($H$2:$H209,"No",$I$2:$I209,"&lt;&gt;"&amp;"",$I$2:$I209,"&lt;="&amp;TODAY()+2),"")</f>
        <v/>
      </c>
    </row>
    <row r="210">
      <c r="K210">
        <f>IF(AND($H210="No",$I210&lt;&gt;"",$I210&lt;=TODAY()+2),COUNTIFS($H$2:$H210,"No",$I$2:$I210,"&lt;&gt;"&amp;"",$I$2:$I210,"&lt;="&amp;TODAY()+2),"")</f>
        <v/>
      </c>
    </row>
    <row r="211">
      <c r="K211">
        <f>IF(AND($H211="No",$I211&lt;&gt;"",$I211&lt;=TODAY()+2),COUNTIFS($H$2:$H211,"No",$I$2:$I211,"&lt;&gt;"&amp;"",$I$2:$I211,"&lt;="&amp;TODAY()+2),"")</f>
        <v/>
      </c>
    </row>
    <row r="212">
      <c r="K212">
        <f>IF(AND($H212="No",$I212&lt;&gt;"",$I212&lt;=TODAY()+2),COUNTIFS($H$2:$H212,"No",$I$2:$I212,"&lt;&gt;"&amp;"",$I$2:$I212,"&lt;="&amp;TODAY()+2),"")</f>
        <v/>
      </c>
    </row>
    <row r="213">
      <c r="K213">
        <f>IF(AND($H213="No",$I213&lt;&gt;"",$I213&lt;=TODAY()+2),COUNTIFS($H$2:$H213,"No",$I$2:$I213,"&lt;&gt;"&amp;"",$I$2:$I213,"&lt;="&amp;TODAY()+2),"")</f>
        <v/>
      </c>
    </row>
    <row r="214">
      <c r="K214">
        <f>IF(AND($H214="No",$I214&lt;&gt;"",$I214&lt;=TODAY()+2),COUNTIFS($H$2:$H214,"No",$I$2:$I214,"&lt;&gt;"&amp;"",$I$2:$I214,"&lt;="&amp;TODAY()+2),"")</f>
        <v/>
      </c>
    </row>
    <row r="215">
      <c r="K215">
        <f>IF(AND($H215="No",$I215&lt;&gt;"",$I215&lt;=TODAY()+2),COUNTIFS($H$2:$H215,"No",$I$2:$I215,"&lt;&gt;"&amp;"",$I$2:$I215,"&lt;="&amp;TODAY()+2),"")</f>
        <v/>
      </c>
    </row>
    <row r="216">
      <c r="K216">
        <f>IF(AND($H216="No",$I216&lt;&gt;"",$I216&lt;=TODAY()+2),COUNTIFS($H$2:$H216,"No",$I$2:$I216,"&lt;&gt;"&amp;"",$I$2:$I216,"&lt;="&amp;TODAY()+2),"")</f>
        <v/>
      </c>
    </row>
    <row r="217">
      <c r="K217">
        <f>IF(AND($H217="No",$I217&lt;&gt;"",$I217&lt;=TODAY()+2),COUNTIFS($H$2:$H217,"No",$I$2:$I217,"&lt;&gt;"&amp;"",$I$2:$I217,"&lt;="&amp;TODAY()+2),"")</f>
        <v/>
      </c>
    </row>
    <row r="218">
      <c r="K218">
        <f>IF(AND($H218="No",$I218&lt;&gt;"",$I218&lt;=TODAY()+2),COUNTIFS($H$2:$H218,"No",$I$2:$I218,"&lt;&gt;"&amp;"",$I$2:$I218,"&lt;="&amp;TODAY()+2),"")</f>
        <v/>
      </c>
    </row>
    <row r="219">
      <c r="K219">
        <f>IF(AND($H219="No",$I219&lt;&gt;"",$I219&lt;=TODAY()+2),COUNTIFS($H$2:$H219,"No",$I$2:$I219,"&lt;&gt;"&amp;"",$I$2:$I219,"&lt;="&amp;TODAY()+2),"")</f>
        <v/>
      </c>
    </row>
    <row r="220">
      <c r="K220">
        <f>IF(AND($H220="No",$I220&lt;&gt;"",$I220&lt;=TODAY()+2),COUNTIFS($H$2:$H220,"No",$I$2:$I220,"&lt;&gt;"&amp;"",$I$2:$I220,"&lt;="&amp;TODAY()+2),"")</f>
        <v/>
      </c>
    </row>
    <row r="221">
      <c r="K221">
        <f>IF(AND($H221="No",$I221&lt;&gt;"",$I221&lt;=TODAY()+2),COUNTIFS($H$2:$H221,"No",$I$2:$I221,"&lt;&gt;"&amp;"",$I$2:$I221,"&lt;="&amp;TODAY()+2),"")</f>
        <v/>
      </c>
    </row>
    <row r="222">
      <c r="K222">
        <f>IF(AND($H222="No",$I222&lt;&gt;"",$I222&lt;=TODAY()+2),COUNTIFS($H$2:$H222,"No",$I$2:$I222,"&lt;&gt;"&amp;"",$I$2:$I222,"&lt;="&amp;TODAY()+2),"")</f>
        <v/>
      </c>
    </row>
    <row r="223">
      <c r="K223">
        <f>IF(AND($H223="No",$I223&lt;&gt;"",$I223&lt;=TODAY()+2),COUNTIFS($H$2:$H223,"No",$I$2:$I223,"&lt;&gt;"&amp;"",$I$2:$I223,"&lt;="&amp;TODAY()+2),"")</f>
        <v/>
      </c>
    </row>
    <row r="224">
      <c r="K224">
        <f>IF(AND($H224="No",$I224&lt;&gt;"",$I224&lt;=TODAY()+2),COUNTIFS($H$2:$H224,"No",$I$2:$I224,"&lt;&gt;"&amp;"",$I$2:$I224,"&lt;="&amp;TODAY()+2),"")</f>
        <v/>
      </c>
    </row>
    <row r="225">
      <c r="K225">
        <f>IF(AND($H225="No",$I225&lt;&gt;"",$I225&lt;=TODAY()+2),COUNTIFS($H$2:$H225,"No",$I$2:$I225,"&lt;&gt;"&amp;"",$I$2:$I225,"&lt;="&amp;TODAY()+2),"")</f>
        <v/>
      </c>
    </row>
    <row r="226">
      <c r="K226">
        <f>IF(AND($H226="No",$I226&lt;&gt;"",$I226&lt;=TODAY()+2),COUNTIFS($H$2:$H226,"No",$I$2:$I226,"&lt;&gt;"&amp;"",$I$2:$I226,"&lt;="&amp;TODAY()+2),"")</f>
        <v/>
      </c>
    </row>
    <row r="227">
      <c r="K227">
        <f>IF(AND($H227="No",$I227&lt;&gt;"",$I227&lt;=TODAY()+2),COUNTIFS($H$2:$H227,"No",$I$2:$I227,"&lt;&gt;"&amp;"",$I$2:$I227,"&lt;="&amp;TODAY()+2),"")</f>
        <v/>
      </c>
    </row>
    <row r="228">
      <c r="K228">
        <f>IF(AND($H228="No",$I228&lt;&gt;"",$I228&lt;=TODAY()+2),COUNTIFS($H$2:$H228,"No",$I$2:$I228,"&lt;&gt;"&amp;"",$I$2:$I228,"&lt;="&amp;TODAY()+2),"")</f>
        <v/>
      </c>
    </row>
    <row r="229">
      <c r="K229">
        <f>IF(AND($H229="No",$I229&lt;&gt;"",$I229&lt;=TODAY()+2),COUNTIFS($H$2:$H229,"No",$I$2:$I229,"&lt;&gt;"&amp;"",$I$2:$I229,"&lt;="&amp;TODAY()+2),"")</f>
        <v/>
      </c>
    </row>
    <row r="230">
      <c r="K230">
        <f>IF(AND($H230="No",$I230&lt;&gt;"",$I230&lt;=TODAY()+2),COUNTIFS($H$2:$H230,"No",$I$2:$I230,"&lt;&gt;"&amp;"",$I$2:$I230,"&lt;="&amp;TODAY()+2),"")</f>
        <v/>
      </c>
    </row>
    <row r="231">
      <c r="K231">
        <f>IF(AND($H231="No",$I231&lt;&gt;"",$I231&lt;=TODAY()+2),COUNTIFS($H$2:$H231,"No",$I$2:$I231,"&lt;&gt;"&amp;"",$I$2:$I231,"&lt;="&amp;TODAY()+2),"")</f>
        <v/>
      </c>
    </row>
    <row r="232">
      <c r="K232">
        <f>IF(AND($H232="No",$I232&lt;&gt;"",$I232&lt;=TODAY()+2),COUNTIFS($H$2:$H232,"No",$I$2:$I232,"&lt;&gt;"&amp;"",$I$2:$I232,"&lt;="&amp;TODAY()+2),"")</f>
        <v/>
      </c>
    </row>
    <row r="233">
      <c r="K233">
        <f>IF(AND($H233="No",$I233&lt;&gt;"",$I233&lt;=TODAY()+2),COUNTIFS($H$2:$H233,"No",$I$2:$I233,"&lt;&gt;"&amp;"",$I$2:$I233,"&lt;="&amp;TODAY()+2),"")</f>
        <v/>
      </c>
    </row>
    <row r="234">
      <c r="K234">
        <f>IF(AND($H234="No",$I234&lt;&gt;"",$I234&lt;=TODAY()+2),COUNTIFS($H$2:$H234,"No",$I$2:$I234,"&lt;&gt;"&amp;"",$I$2:$I234,"&lt;="&amp;TODAY()+2),"")</f>
        <v/>
      </c>
    </row>
    <row r="235">
      <c r="K235">
        <f>IF(AND($H235="No",$I235&lt;&gt;"",$I235&lt;=TODAY()+2),COUNTIFS($H$2:$H235,"No",$I$2:$I235,"&lt;&gt;"&amp;"",$I$2:$I235,"&lt;="&amp;TODAY()+2),"")</f>
        <v/>
      </c>
    </row>
    <row r="236">
      <c r="K236">
        <f>IF(AND($H236="No",$I236&lt;&gt;"",$I236&lt;=TODAY()+2),COUNTIFS($H$2:$H236,"No",$I$2:$I236,"&lt;&gt;"&amp;"",$I$2:$I236,"&lt;="&amp;TODAY()+2),"")</f>
        <v/>
      </c>
    </row>
    <row r="237">
      <c r="K237">
        <f>IF(AND($H237="No",$I237&lt;&gt;"",$I237&lt;=TODAY()+2),COUNTIFS($H$2:$H237,"No",$I$2:$I237,"&lt;&gt;"&amp;"",$I$2:$I237,"&lt;="&amp;TODAY()+2),"")</f>
        <v/>
      </c>
    </row>
    <row r="238">
      <c r="K238">
        <f>IF(AND($H238="No",$I238&lt;&gt;"",$I238&lt;=TODAY()+2),COUNTIFS($H$2:$H238,"No",$I$2:$I238,"&lt;&gt;"&amp;"",$I$2:$I238,"&lt;="&amp;TODAY()+2),"")</f>
        <v/>
      </c>
    </row>
    <row r="239">
      <c r="K239">
        <f>IF(AND($H239="No",$I239&lt;&gt;"",$I239&lt;=TODAY()+2),COUNTIFS($H$2:$H239,"No",$I$2:$I239,"&lt;&gt;"&amp;"",$I$2:$I239,"&lt;="&amp;TODAY()+2),"")</f>
        <v/>
      </c>
    </row>
    <row r="240">
      <c r="K240">
        <f>IF(AND($H240="No",$I240&lt;&gt;"",$I240&lt;=TODAY()+2),COUNTIFS($H$2:$H240,"No",$I$2:$I240,"&lt;&gt;"&amp;"",$I$2:$I240,"&lt;="&amp;TODAY()+2),"")</f>
        <v/>
      </c>
    </row>
    <row r="241">
      <c r="K241">
        <f>IF(AND($H241="No",$I241&lt;&gt;"",$I241&lt;=TODAY()+2),COUNTIFS($H$2:$H241,"No",$I$2:$I241,"&lt;&gt;"&amp;"",$I$2:$I241,"&lt;="&amp;TODAY()+2),"")</f>
        <v/>
      </c>
    </row>
    <row r="242">
      <c r="K242">
        <f>IF(AND($H242="No",$I242&lt;&gt;"",$I242&lt;=TODAY()+2),COUNTIFS($H$2:$H242,"No",$I$2:$I242,"&lt;&gt;"&amp;"",$I$2:$I242,"&lt;="&amp;TODAY()+2),"")</f>
        <v/>
      </c>
    </row>
    <row r="243">
      <c r="K243">
        <f>IF(AND($H243="No",$I243&lt;&gt;"",$I243&lt;=TODAY()+2),COUNTIFS($H$2:$H243,"No",$I$2:$I243,"&lt;&gt;"&amp;"",$I$2:$I243,"&lt;="&amp;TODAY()+2),"")</f>
        <v/>
      </c>
    </row>
    <row r="244">
      <c r="K244">
        <f>IF(AND($H244="No",$I244&lt;&gt;"",$I244&lt;=TODAY()+2),COUNTIFS($H$2:$H244,"No",$I$2:$I244,"&lt;&gt;"&amp;"",$I$2:$I244,"&lt;="&amp;TODAY()+2),"")</f>
        <v/>
      </c>
    </row>
    <row r="245">
      <c r="K245">
        <f>IF(AND($H245="No",$I245&lt;&gt;"",$I245&lt;=TODAY()+2),COUNTIFS($H$2:$H245,"No",$I$2:$I245,"&lt;&gt;"&amp;"",$I$2:$I245,"&lt;="&amp;TODAY()+2),"")</f>
        <v/>
      </c>
    </row>
    <row r="246">
      <c r="K246">
        <f>IF(AND($H246="No",$I246&lt;&gt;"",$I246&lt;=TODAY()+2),COUNTIFS($H$2:$H246,"No",$I$2:$I246,"&lt;&gt;"&amp;"",$I$2:$I246,"&lt;="&amp;TODAY()+2),"")</f>
        <v/>
      </c>
    </row>
    <row r="247">
      <c r="K247">
        <f>IF(AND($H247="No",$I247&lt;&gt;"",$I247&lt;=TODAY()+2),COUNTIFS($H$2:$H247,"No",$I$2:$I247,"&lt;&gt;"&amp;"",$I$2:$I247,"&lt;="&amp;TODAY()+2),"")</f>
        <v/>
      </c>
    </row>
    <row r="248">
      <c r="K248">
        <f>IF(AND($H248="No",$I248&lt;&gt;"",$I248&lt;=TODAY()+2),COUNTIFS($H$2:$H248,"No",$I$2:$I248,"&lt;&gt;"&amp;"",$I$2:$I248,"&lt;="&amp;TODAY()+2),"")</f>
        <v/>
      </c>
    </row>
    <row r="249">
      <c r="K249">
        <f>IF(AND($H249="No",$I249&lt;&gt;"",$I249&lt;=TODAY()+2),COUNTIFS($H$2:$H249,"No",$I$2:$I249,"&lt;&gt;"&amp;"",$I$2:$I249,"&lt;="&amp;TODAY()+2),"")</f>
        <v/>
      </c>
    </row>
    <row r="250">
      <c r="K250">
        <f>IF(AND($H250="No",$I250&lt;&gt;"",$I250&lt;=TODAY()+2),COUNTIFS($H$2:$H250,"No",$I$2:$I250,"&lt;&gt;"&amp;"",$I$2:$I250,"&lt;="&amp;TODAY()+2),"")</f>
        <v/>
      </c>
    </row>
    <row r="251">
      <c r="K251">
        <f>IF(AND($H251="No",$I251&lt;&gt;"",$I251&lt;=TODAY()+2),COUNTIFS($H$2:$H251,"No",$I$2:$I251,"&lt;&gt;"&amp;"",$I$2:$I251,"&lt;="&amp;TODAY()+2),"")</f>
        <v/>
      </c>
    </row>
    <row r="252">
      <c r="K252">
        <f>IF(AND($H252="No",$I252&lt;&gt;"",$I252&lt;=TODAY()+2),COUNTIFS($H$2:$H252,"No",$I$2:$I252,"&lt;&gt;"&amp;"",$I$2:$I252,"&lt;="&amp;TODAY()+2),"")</f>
        <v/>
      </c>
    </row>
    <row r="253">
      <c r="K253">
        <f>IF(AND($H253="No",$I253&lt;&gt;"",$I253&lt;=TODAY()+2),COUNTIFS($H$2:$H253,"No",$I$2:$I253,"&lt;&gt;"&amp;"",$I$2:$I253,"&lt;="&amp;TODAY()+2),"")</f>
        <v/>
      </c>
    </row>
    <row r="254">
      <c r="K254">
        <f>IF(AND($H254="No",$I254&lt;&gt;"",$I254&lt;=TODAY()+2),COUNTIFS($H$2:$H254,"No",$I$2:$I254,"&lt;&gt;"&amp;"",$I$2:$I254,"&lt;="&amp;TODAY()+2),"")</f>
        <v/>
      </c>
    </row>
    <row r="255">
      <c r="K255">
        <f>IF(AND($H255="No",$I255&lt;&gt;"",$I255&lt;=TODAY()+2),COUNTIFS($H$2:$H255,"No",$I$2:$I255,"&lt;&gt;"&amp;"",$I$2:$I255,"&lt;="&amp;TODAY()+2),"")</f>
        <v/>
      </c>
    </row>
    <row r="256">
      <c r="K256">
        <f>IF(AND($H256="No",$I256&lt;&gt;"",$I256&lt;=TODAY()+2),COUNTIFS($H$2:$H256,"No",$I$2:$I256,"&lt;&gt;"&amp;"",$I$2:$I256,"&lt;="&amp;TODAY()+2),"")</f>
        <v/>
      </c>
    </row>
    <row r="257">
      <c r="K257">
        <f>IF(AND($H257="No",$I257&lt;&gt;"",$I257&lt;=TODAY()+2),COUNTIFS($H$2:$H257,"No",$I$2:$I257,"&lt;&gt;"&amp;"",$I$2:$I257,"&lt;="&amp;TODAY()+2),"")</f>
        <v/>
      </c>
    </row>
    <row r="258">
      <c r="K258">
        <f>IF(AND($H258="No",$I258&lt;&gt;"",$I258&lt;=TODAY()+2),COUNTIFS($H$2:$H258,"No",$I$2:$I258,"&lt;&gt;"&amp;"",$I$2:$I258,"&lt;="&amp;TODAY()+2),"")</f>
        <v/>
      </c>
    </row>
    <row r="259">
      <c r="K259">
        <f>IF(AND($H259="No",$I259&lt;&gt;"",$I259&lt;=TODAY()+2),COUNTIFS($H$2:$H259,"No",$I$2:$I259,"&lt;&gt;"&amp;"",$I$2:$I259,"&lt;="&amp;TODAY()+2),"")</f>
        <v/>
      </c>
    </row>
    <row r="260">
      <c r="K260">
        <f>IF(AND($H260="No",$I260&lt;&gt;"",$I260&lt;=TODAY()+2),COUNTIFS($H$2:$H260,"No",$I$2:$I260,"&lt;&gt;"&amp;"",$I$2:$I260,"&lt;="&amp;TODAY()+2),"")</f>
        <v/>
      </c>
    </row>
    <row r="261">
      <c r="K261">
        <f>IF(AND($H261="No",$I261&lt;&gt;"",$I261&lt;=TODAY()+2),COUNTIFS($H$2:$H261,"No",$I$2:$I261,"&lt;&gt;"&amp;"",$I$2:$I261,"&lt;="&amp;TODAY()+2),"")</f>
        <v/>
      </c>
    </row>
    <row r="262">
      <c r="K262">
        <f>IF(AND($H262="No",$I262&lt;&gt;"",$I262&lt;=TODAY()+2),COUNTIFS($H$2:$H262,"No",$I$2:$I262,"&lt;&gt;"&amp;"",$I$2:$I262,"&lt;="&amp;TODAY()+2),"")</f>
        <v/>
      </c>
    </row>
    <row r="263">
      <c r="K263">
        <f>IF(AND($H263="No",$I263&lt;&gt;"",$I263&lt;=TODAY()+2),COUNTIFS($H$2:$H263,"No",$I$2:$I263,"&lt;&gt;"&amp;"",$I$2:$I263,"&lt;="&amp;TODAY()+2),"")</f>
        <v/>
      </c>
    </row>
    <row r="264">
      <c r="K264">
        <f>IF(AND($H264="No",$I264&lt;&gt;"",$I264&lt;=TODAY()+2),COUNTIFS($H$2:$H264,"No",$I$2:$I264,"&lt;&gt;"&amp;"",$I$2:$I264,"&lt;="&amp;TODAY()+2),"")</f>
        <v/>
      </c>
    </row>
    <row r="265">
      <c r="K265">
        <f>IF(AND($H265="No",$I265&lt;&gt;"",$I265&lt;=TODAY()+2),COUNTIFS($H$2:$H265,"No",$I$2:$I265,"&lt;&gt;"&amp;"",$I$2:$I265,"&lt;="&amp;TODAY()+2),"")</f>
        <v/>
      </c>
    </row>
    <row r="266">
      <c r="K266">
        <f>IF(AND($H266="No",$I266&lt;&gt;"",$I266&lt;=TODAY()+2),COUNTIFS($H$2:$H266,"No",$I$2:$I266,"&lt;&gt;"&amp;"",$I$2:$I266,"&lt;="&amp;TODAY()+2),"")</f>
        <v/>
      </c>
    </row>
    <row r="267">
      <c r="K267">
        <f>IF(AND($H267="No",$I267&lt;&gt;"",$I267&lt;=TODAY()+2),COUNTIFS($H$2:$H267,"No",$I$2:$I267,"&lt;&gt;"&amp;"",$I$2:$I267,"&lt;="&amp;TODAY()+2),"")</f>
        <v/>
      </c>
    </row>
    <row r="268">
      <c r="K268">
        <f>IF(AND($H268="No",$I268&lt;&gt;"",$I268&lt;=TODAY()+2),COUNTIFS($H$2:$H268,"No",$I$2:$I268,"&lt;&gt;"&amp;"",$I$2:$I268,"&lt;="&amp;TODAY()+2),"")</f>
        <v/>
      </c>
    </row>
    <row r="269">
      <c r="K269">
        <f>IF(AND($H269="No",$I269&lt;&gt;"",$I269&lt;=TODAY()+2),COUNTIFS($H$2:$H269,"No",$I$2:$I269,"&lt;&gt;"&amp;"",$I$2:$I269,"&lt;="&amp;TODAY()+2),"")</f>
        <v/>
      </c>
    </row>
    <row r="270">
      <c r="K270">
        <f>IF(AND($H270="No",$I270&lt;&gt;"",$I270&lt;=TODAY()+2),COUNTIFS($H$2:$H270,"No",$I$2:$I270,"&lt;&gt;"&amp;"",$I$2:$I270,"&lt;="&amp;TODAY()+2),"")</f>
        <v/>
      </c>
    </row>
    <row r="271">
      <c r="K271">
        <f>IF(AND($H271="No",$I271&lt;&gt;"",$I271&lt;=TODAY()+2),COUNTIFS($H$2:$H271,"No",$I$2:$I271,"&lt;&gt;"&amp;"",$I$2:$I271,"&lt;="&amp;TODAY()+2),"")</f>
        <v/>
      </c>
    </row>
    <row r="272">
      <c r="K272">
        <f>IF(AND($H272="No",$I272&lt;&gt;"",$I272&lt;=TODAY()+2),COUNTIFS($H$2:$H272,"No",$I$2:$I272,"&lt;&gt;"&amp;"",$I$2:$I272,"&lt;="&amp;TODAY()+2),"")</f>
        <v/>
      </c>
    </row>
    <row r="273">
      <c r="K273">
        <f>IF(AND($H273="No",$I273&lt;&gt;"",$I273&lt;=TODAY()+2),COUNTIFS($H$2:$H273,"No",$I$2:$I273,"&lt;&gt;"&amp;"",$I$2:$I273,"&lt;="&amp;TODAY()+2),"")</f>
        <v/>
      </c>
    </row>
    <row r="274">
      <c r="K274">
        <f>IF(AND($H274="No",$I274&lt;&gt;"",$I274&lt;=TODAY()+2),COUNTIFS($H$2:$H274,"No",$I$2:$I274,"&lt;&gt;"&amp;"",$I$2:$I274,"&lt;="&amp;TODAY()+2),"")</f>
        <v/>
      </c>
    </row>
    <row r="275">
      <c r="K275">
        <f>IF(AND($H275="No",$I275&lt;&gt;"",$I275&lt;=TODAY()+2),COUNTIFS($H$2:$H275,"No",$I$2:$I275,"&lt;&gt;"&amp;"",$I$2:$I275,"&lt;="&amp;TODAY()+2),"")</f>
        <v/>
      </c>
    </row>
    <row r="276">
      <c r="K276">
        <f>IF(AND($H276="No",$I276&lt;&gt;"",$I276&lt;=TODAY()+2),COUNTIFS($H$2:$H276,"No",$I$2:$I276,"&lt;&gt;"&amp;"",$I$2:$I276,"&lt;="&amp;TODAY()+2),"")</f>
        <v/>
      </c>
    </row>
    <row r="277">
      <c r="K277">
        <f>IF(AND($H277="No",$I277&lt;&gt;"",$I277&lt;=TODAY()+2),COUNTIFS($H$2:$H277,"No",$I$2:$I277,"&lt;&gt;"&amp;"",$I$2:$I277,"&lt;="&amp;TODAY()+2),"")</f>
        <v/>
      </c>
    </row>
    <row r="278">
      <c r="K278">
        <f>IF(AND($H278="No",$I278&lt;&gt;"",$I278&lt;=TODAY()+2),COUNTIFS($H$2:$H278,"No",$I$2:$I278,"&lt;&gt;"&amp;"",$I$2:$I278,"&lt;="&amp;TODAY()+2),"")</f>
        <v/>
      </c>
    </row>
    <row r="279">
      <c r="K279">
        <f>IF(AND($H279="No",$I279&lt;&gt;"",$I279&lt;=TODAY()+2),COUNTIFS($H$2:$H279,"No",$I$2:$I279,"&lt;&gt;"&amp;"",$I$2:$I279,"&lt;="&amp;TODAY()+2),"")</f>
        <v/>
      </c>
    </row>
    <row r="280">
      <c r="K280">
        <f>IF(AND($H280="No",$I280&lt;&gt;"",$I280&lt;=TODAY()+2),COUNTIFS($H$2:$H280,"No",$I$2:$I280,"&lt;&gt;"&amp;"",$I$2:$I280,"&lt;="&amp;TODAY()+2),"")</f>
        <v/>
      </c>
    </row>
    <row r="281">
      <c r="K281">
        <f>IF(AND($H281="No",$I281&lt;&gt;"",$I281&lt;=TODAY()+2),COUNTIFS($H$2:$H281,"No",$I$2:$I281,"&lt;&gt;"&amp;"",$I$2:$I281,"&lt;="&amp;TODAY()+2),"")</f>
        <v/>
      </c>
    </row>
    <row r="282">
      <c r="K282">
        <f>IF(AND($H282="No",$I282&lt;&gt;"",$I282&lt;=TODAY()+2),COUNTIFS($H$2:$H282,"No",$I$2:$I282,"&lt;&gt;"&amp;"",$I$2:$I282,"&lt;="&amp;TODAY()+2),"")</f>
        <v/>
      </c>
    </row>
    <row r="283">
      <c r="K283">
        <f>IF(AND($H283="No",$I283&lt;&gt;"",$I283&lt;=TODAY()+2),COUNTIFS($H$2:$H283,"No",$I$2:$I283,"&lt;&gt;"&amp;"",$I$2:$I283,"&lt;="&amp;TODAY()+2),"")</f>
        <v/>
      </c>
    </row>
    <row r="284">
      <c r="K284">
        <f>IF(AND($H284="No",$I284&lt;&gt;"",$I284&lt;=TODAY()+2),COUNTIFS($H$2:$H284,"No",$I$2:$I284,"&lt;&gt;"&amp;"",$I$2:$I284,"&lt;="&amp;TODAY()+2),"")</f>
        <v/>
      </c>
    </row>
    <row r="285">
      <c r="K285">
        <f>IF(AND($H285="No",$I285&lt;&gt;"",$I285&lt;=TODAY()+2),COUNTIFS($H$2:$H285,"No",$I$2:$I285,"&lt;&gt;"&amp;"",$I$2:$I285,"&lt;="&amp;TODAY()+2),"")</f>
        <v/>
      </c>
    </row>
    <row r="286">
      <c r="K286">
        <f>IF(AND($H286="No",$I286&lt;&gt;"",$I286&lt;=TODAY()+2),COUNTIFS($H$2:$H286,"No",$I$2:$I286,"&lt;&gt;"&amp;"",$I$2:$I286,"&lt;="&amp;TODAY()+2),"")</f>
        <v/>
      </c>
    </row>
    <row r="287">
      <c r="K287">
        <f>IF(AND($H287="No",$I287&lt;&gt;"",$I287&lt;=TODAY()+2),COUNTIFS($H$2:$H287,"No",$I$2:$I287,"&lt;&gt;"&amp;"",$I$2:$I287,"&lt;="&amp;TODAY()+2),"")</f>
        <v/>
      </c>
    </row>
    <row r="288">
      <c r="K288">
        <f>IF(AND($H288="No",$I288&lt;&gt;"",$I288&lt;=TODAY()+2),COUNTIFS($H$2:$H288,"No",$I$2:$I288,"&lt;&gt;"&amp;"",$I$2:$I288,"&lt;="&amp;TODAY()+2),"")</f>
        <v/>
      </c>
    </row>
    <row r="289">
      <c r="K289">
        <f>IF(AND($H289="No",$I289&lt;&gt;"",$I289&lt;=TODAY()+2),COUNTIFS($H$2:$H289,"No",$I$2:$I289,"&lt;&gt;"&amp;"",$I$2:$I289,"&lt;="&amp;TODAY()+2),"")</f>
        <v/>
      </c>
    </row>
    <row r="290">
      <c r="K290">
        <f>IF(AND($H290="No",$I290&lt;&gt;"",$I290&lt;=TODAY()+2),COUNTIFS($H$2:$H290,"No",$I$2:$I290,"&lt;&gt;"&amp;"",$I$2:$I290,"&lt;="&amp;TODAY()+2),"")</f>
        <v/>
      </c>
    </row>
    <row r="291">
      <c r="K291">
        <f>IF(AND($H291="No",$I291&lt;&gt;"",$I291&lt;=TODAY()+2),COUNTIFS($H$2:$H291,"No",$I$2:$I291,"&lt;&gt;"&amp;"",$I$2:$I291,"&lt;="&amp;TODAY()+2),"")</f>
        <v/>
      </c>
    </row>
    <row r="292">
      <c r="K292">
        <f>IF(AND($H292="No",$I292&lt;&gt;"",$I292&lt;=TODAY()+2),COUNTIFS($H$2:$H292,"No",$I$2:$I292,"&lt;&gt;"&amp;"",$I$2:$I292,"&lt;="&amp;TODAY()+2),"")</f>
        <v/>
      </c>
    </row>
    <row r="293">
      <c r="K293">
        <f>IF(AND($H293="No",$I293&lt;&gt;"",$I293&lt;=TODAY()+2),COUNTIFS($H$2:$H293,"No",$I$2:$I293,"&lt;&gt;"&amp;"",$I$2:$I293,"&lt;="&amp;TODAY()+2),"")</f>
        <v/>
      </c>
    </row>
    <row r="294">
      <c r="K294">
        <f>IF(AND($H294="No",$I294&lt;&gt;"",$I294&lt;=TODAY()+2),COUNTIFS($H$2:$H294,"No",$I$2:$I294,"&lt;&gt;"&amp;"",$I$2:$I294,"&lt;="&amp;TODAY()+2),"")</f>
        <v/>
      </c>
    </row>
    <row r="295">
      <c r="K295">
        <f>IF(AND($H295="No",$I295&lt;&gt;"",$I295&lt;=TODAY()+2),COUNTIFS($H$2:$H295,"No",$I$2:$I295,"&lt;&gt;"&amp;"",$I$2:$I295,"&lt;="&amp;TODAY()+2),"")</f>
        <v/>
      </c>
    </row>
    <row r="296">
      <c r="K296">
        <f>IF(AND($H296="No",$I296&lt;&gt;"",$I296&lt;=TODAY()+2),COUNTIFS($H$2:$H296,"No",$I$2:$I296,"&lt;&gt;"&amp;"",$I$2:$I296,"&lt;="&amp;TODAY()+2),"")</f>
        <v/>
      </c>
    </row>
    <row r="297">
      <c r="K297">
        <f>IF(AND($H297="No",$I297&lt;&gt;"",$I297&lt;=TODAY()+2),COUNTIFS($H$2:$H297,"No",$I$2:$I297,"&lt;&gt;"&amp;"",$I$2:$I297,"&lt;="&amp;TODAY()+2),"")</f>
        <v/>
      </c>
    </row>
    <row r="298">
      <c r="K298">
        <f>IF(AND($H298="No",$I298&lt;&gt;"",$I298&lt;=TODAY()+2),COUNTIFS($H$2:$H298,"No",$I$2:$I298,"&lt;&gt;"&amp;"",$I$2:$I298,"&lt;="&amp;TODAY()+2),"")</f>
        <v/>
      </c>
    </row>
    <row r="299">
      <c r="K299">
        <f>IF(AND($H299="No",$I299&lt;&gt;"",$I299&lt;=TODAY()+2),COUNTIFS($H$2:$H299,"No",$I$2:$I299,"&lt;&gt;"&amp;"",$I$2:$I299,"&lt;="&amp;TODAY()+2),"")</f>
        <v/>
      </c>
    </row>
    <row r="300">
      <c r="K300">
        <f>IF(AND($H300="No",$I300&lt;&gt;"",$I300&lt;=TODAY()+2),COUNTIFS($H$2:$H300,"No",$I$2:$I300,"&lt;&gt;"&amp;"",$I$2:$I300,"&lt;="&amp;TODAY()+2),"")</f>
        <v/>
      </c>
    </row>
    <row r="301">
      <c r="K301">
        <f>IF(AND($H301="No",$I301&lt;&gt;"",$I301&lt;=TODAY()+2),COUNTIFS($H$2:$H301,"No",$I$2:$I301,"&lt;&gt;"&amp;"",$I$2:$I301,"&lt;="&amp;TODAY()+2),"")</f>
        <v/>
      </c>
    </row>
    <row r="302">
      <c r="K302">
        <f>IF(AND($H302="No",$I302&lt;&gt;"",$I302&lt;=TODAY()+2),COUNTIFS($H$2:$H302,"No",$I$2:$I302,"&lt;&gt;"&amp;"",$I$2:$I302,"&lt;="&amp;TODAY()+2),"")</f>
        <v/>
      </c>
    </row>
    <row r="303">
      <c r="K303">
        <f>IF(AND($H303="No",$I303&lt;&gt;"",$I303&lt;=TODAY()+2),COUNTIFS($H$2:$H303,"No",$I$2:$I303,"&lt;&gt;"&amp;"",$I$2:$I303,"&lt;="&amp;TODAY()+2),"")</f>
        <v/>
      </c>
    </row>
    <row r="304">
      <c r="K304">
        <f>IF(AND($H304="No",$I304&lt;&gt;"",$I304&lt;=TODAY()+2),COUNTIFS($H$2:$H304,"No",$I$2:$I304,"&lt;&gt;"&amp;"",$I$2:$I304,"&lt;="&amp;TODAY()+2),"")</f>
        <v/>
      </c>
    </row>
    <row r="305">
      <c r="K305">
        <f>IF(AND($H305="No",$I305&lt;&gt;"",$I305&lt;=TODAY()+2),COUNTIFS($H$2:$H305,"No",$I$2:$I305,"&lt;&gt;"&amp;"",$I$2:$I305,"&lt;="&amp;TODAY()+2),"")</f>
        <v/>
      </c>
    </row>
    <row r="306">
      <c r="K306">
        <f>IF(AND($H306="No",$I306&lt;&gt;"",$I306&lt;=TODAY()+2),COUNTIFS($H$2:$H306,"No",$I$2:$I306,"&lt;&gt;"&amp;"",$I$2:$I306,"&lt;="&amp;TODAY()+2),"")</f>
        <v/>
      </c>
    </row>
    <row r="307">
      <c r="K307">
        <f>IF(AND($H307="No",$I307&lt;&gt;"",$I307&lt;=TODAY()+2),COUNTIFS($H$2:$H307,"No",$I$2:$I307,"&lt;&gt;"&amp;"",$I$2:$I307,"&lt;="&amp;TODAY()+2),"")</f>
        <v/>
      </c>
    </row>
    <row r="308">
      <c r="K308">
        <f>IF(AND($H308="No",$I308&lt;&gt;"",$I308&lt;=TODAY()+2),COUNTIFS($H$2:$H308,"No",$I$2:$I308,"&lt;&gt;"&amp;"",$I$2:$I308,"&lt;="&amp;TODAY()+2),"")</f>
        <v/>
      </c>
    </row>
    <row r="309">
      <c r="K309">
        <f>IF(AND($H309="No",$I309&lt;&gt;"",$I309&lt;=TODAY()+2),COUNTIFS($H$2:$H309,"No",$I$2:$I309,"&lt;&gt;"&amp;"",$I$2:$I309,"&lt;="&amp;TODAY()+2),"")</f>
        <v/>
      </c>
    </row>
    <row r="310">
      <c r="K310">
        <f>IF(AND($H310="No",$I310&lt;&gt;"",$I310&lt;=TODAY()+2),COUNTIFS($H$2:$H310,"No",$I$2:$I310,"&lt;&gt;"&amp;"",$I$2:$I310,"&lt;="&amp;TODAY()+2),"")</f>
        <v/>
      </c>
    </row>
    <row r="311">
      <c r="K311">
        <f>IF(AND($H311="No",$I311&lt;&gt;"",$I311&lt;=TODAY()+2),COUNTIFS($H$2:$H311,"No",$I$2:$I311,"&lt;&gt;"&amp;"",$I$2:$I311,"&lt;="&amp;TODAY()+2),"")</f>
        <v/>
      </c>
    </row>
    <row r="312">
      <c r="K312">
        <f>IF(AND($H312="No",$I312&lt;&gt;"",$I312&lt;=TODAY()+2),COUNTIFS($H$2:$H312,"No",$I$2:$I312,"&lt;&gt;"&amp;"",$I$2:$I312,"&lt;="&amp;TODAY()+2),"")</f>
        <v/>
      </c>
    </row>
    <row r="313">
      <c r="K313">
        <f>IF(AND($H313="No",$I313&lt;&gt;"",$I313&lt;=TODAY()+2),COUNTIFS($H$2:$H313,"No",$I$2:$I313,"&lt;&gt;"&amp;"",$I$2:$I313,"&lt;="&amp;TODAY()+2),"")</f>
        <v/>
      </c>
    </row>
    <row r="314">
      <c r="K314">
        <f>IF(AND($H314="No",$I314&lt;&gt;"",$I314&lt;=TODAY()+2),COUNTIFS($H$2:$H314,"No",$I$2:$I314,"&lt;&gt;"&amp;"",$I$2:$I314,"&lt;="&amp;TODAY()+2),"")</f>
        <v/>
      </c>
    </row>
    <row r="315">
      <c r="K315">
        <f>IF(AND($H315="No",$I315&lt;&gt;"",$I315&lt;=TODAY()+2),COUNTIFS($H$2:$H315,"No",$I$2:$I315,"&lt;&gt;"&amp;"",$I$2:$I315,"&lt;="&amp;TODAY()+2),"")</f>
        <v/>
      </c>
    </row>
    <row r="316">
      <c r="K316">
        <f>IF(AND($H316="No",$I316&lt;&gt;"",$I316&lt;=TODAY()+2),COUNTIFS($H$2:$H316,"No",$I$2:$I316,"&lt;&gt;"&amp;"",$I$2:$I316,"&lt;="&amp;TODAY()+2),"")</f>
        <v/>
      </c>
    </row>
    <row r="317">
      <c r="K317">
        <f>IF(AND($H317="No",$I317&lt;&gt;"",$I317&lt;=TODAY()+2),COUNTIFS($H$2:$H317,"No",$I$2:$I317,"&lt;&gt;"&amp;"",$I$2:$I317,"&lt;="&amp;TODAY()+2),"")</f>
        <v/>
      </c>
    </row>
    <row r="318">
      <c r="K318">
        <f>IF(AND($H318="No",$I318&lt;&gt;"",$I318&lt;=TODAY()+2),COUNTIFS($H$2:$H318,"No",$I$2:$I318,"&lt;&gt;"&amp;"",$I$2:$I318,"&lt;="&amp;TODAY()+2),"")</f>
        <v/>
      </c>
    </row>
    <row r="319">
      <c r="K319">
        <f>IF(AND($H319="No",$I319&lt;&gt;"",$I319&lt;=TODAY()+2),COUNTIFS($H$2:$H319,"No",$I$2:$I319,"&lt;&gt;"&amp;"",$I$2:$I319,"&lt;="&amp;TODAY()+2),"")</f>
        <v/>
      </c>
    </row>
    <row r="320">
      <c r="K320">
        <f>IF(AND($H320="No",$I320&lt;&gt;"",$I320&lt;=TODAY()+2),COUNTIFS($H$2:$H320,"No",$I$2:$I320,"&lt;&gt;"&amp;"",$I$2:$I320,"&lt;="&amp;TODAY()+2),"")</f>
        <v/>
      </c>
    </row>
    <row r="321">
      <c r="K321">
        <f>IF(AND($H321="No",$I321&lt;&gt;"",$I321&lt;=TODAY()+2),COUNTIFS($H$2:$H321,"No",$I$2:$I321,"&lt;&gt;"&amp;"",$I$2:$I321,"&lt;="&amp;TODAY()+2),"")</f>
        <v/>
      </c>
    </row>
    <row r="322">
      <c r="K322">
        <f>IF(AND($H322="No",$I322&lt;&gt;"",$I322&lt;=TODAY()+2),COUNTIFS($H$2:$H322,"No",$I$2:$I322,"&lt;&gt;"&amp;"",$I$2:$I322,"&lt;="&amp;TODAY()+2),"")</f>
        <v/>
      </c>
    </row>
    <row r="323">
      <c r="K323">
        <f>IF(AND($H323="No",$I323&lt;&gt;"",$I323&lt;=TODAY()+2),COUNTIFS($H$2:$H323,"No",$I$2:$I323,"&lt;&gt;"&amp;"",$I$2:$I323,"&lt;="&amp;TODAY()+2),"")</f>
        <v/>
      </c>
    </row>
    <row r="324">
      <c r="K324">
        <f>IF(AND($H324="No",$I324&lt;&gt;"",$I324&lt;=TODAY()+2),COUNTIFS($H$2:$H324,"No",$I$2:$I324,"&lt;&gt;"&amp;"",$I$2:$I324,"&lt;="&amp;TODAY()+2),"")</f>
        <v/>
      </c>
    </row>
    <row r="325">
      <c r="K325">
        <f>IF(AND($H325="No",$I325&lt;&gt;"",$I325&lt;=TODAY()+2),COUNTIFS($H$2:$H325,"No",$I$2:$I325,"&lt;&gt;"&amp;"",$I$2:$I325,"&lt;="&amp;TODAY()+2),"")</f>
        <v/>
      </c>
    </row>
    <row r="326">
      <c r="K326">
        <f>IF(AND($H326="No",$I326&lt;&gt;"",$I326&lt;=TODAY()+2),COUNTIFS($H$2:$H326,"No",$I$2:$I326,"&lt;&gt;"&amp;"",$I$2:$I326,"&lt;="&amp;TODAY()+2),"")</f>
        <v/>
      </c>
    </row>
    <row r="327">
      <c r="K327">
        <f>IF(AND($H327="No",$I327&lt;&gt;"",$I327&lt;=TODAY()+2),COUNTIFS($H$2:$H327,"No",$I$2:$I327,"&lt;&gt;"&amp;"",$I$2:$I327,"&lt;="&amp;TODAY()+2),"")</f>
        <v/>
      </c>
    </row>
    <row r="328">
      <c r="K328">
        <f>IF(AND($H328="No",$I328&lt;&gt;"",$I328&lt;=TODAY()+2),COUNTIFS($H$2:$H328,"No",$I$2:$I328,"&lt;&gt;"&amp;"",$I$2:$I328,"&lt;="&amp;TODAY()+2),"")</f>
        <v/>
      </c>
    </row>
    <row r="329">
      <c r="K329">
        <f>IF(AND($H329="No",$I329&lt;&gt;"",$I329&lt;=TODAY()+2),COUNTIFS($H$2:$H329,"No",$I$2:$I329,"&lt;&gt;"&amp;"",$I$2:$I329,"&lt;="&amp;TODAY()+2),"")</f>
        <v/>
      </c>
    </row>
    <row r="330">
      <c r="K330">
        <f>IF(AND($H330="No",$I330&lt;&gt;"",$I330&lt;=TODAY()+2),COUNTIFS($H$2:$H330,"No",$I$2:$I330,"&lt;&gt;"&amp;"",$I$2:$I330,"&lt;="&amp;TODAY()+2),"")</f>
        <v/>
      </c>
    </row>
    <row r="331">
      <c r="K331">
        <f>IF(AND($H331="No",$I331&lt;&gt;"",$I331&lt;=TODAY()+2),COUNTIFS($H$2:$H331,"No",$I$2:$I331,"&lt;&gt;"&amp;"",$I$2:$I331,"&lt;="&amp;TODAY()+2),"")</f>
        <v/>
      </c>
    </row>
    <row r="332">
      <c r="K332">
        <f>IF(AND($H332="No",$I332&lt;&gt;"",$I332&lt;=TODAY()+2),COUNTIFS($H$2:$H332,"No",$I$2:$I332,"&lt;&gt;"&amp;"",$I$2:$I332,"&lt;="&amp;TODAY()+2),"")</f>
        <v/>
      </c>
    </row>
    <row r="333">
      <c r="K333">
        <f>IF(AND($H333="No",$I333&lt;&gt;"",$I333&lt;=TODAY()+2),COUNTIFS($H$2:$H333,"No",$I$2:$I333,"&lt;&gt;"&amp;"",$I$2:$I333,"&lt;="&amp;TODAY()+2),"")</f>
        <v/>
      </c>
    </row>
    <row r="334">
      <c r="K334">
        <f>IF(AND($H334="No",$I334&lt;&gt;"",$I334&lt;=TODAY()+2),COUNTIFS($H$2:$H334,"No",$I$2:$I334,"&lt;&gt;"&amp;"",$I$2:$I334,"&lt;="&amp;TODAY()+2),"")</f>
        <v/>
      </c>
    </row>
    <row r="335">
      <c r="K335">
        <f>IF(AND($H335="No",$I335&lt;&gt;"",$I335&lt;=TODAY()+2),COUNTIFS($H$2:$H335,"No",$I$2:$I335,"&lt;&gt;"&amp;"",$I$2:$I335,"&lt;="&amp;TODAY()+2),"")</f>
        <v/>
      </c>
    </row>
    <row r="336">
      <c r="K336">
        <f>IF(AND($H336="No",$I336&lt;&gt;"",$I336&lt;=TODAY()+2),COUNTIFS($H$2:$H336,"No",$I$2:$I336,"&lt;&gt;"&amp;"",$I$2:$I336,"&lt;="&amp;TODAY()+2),"")</f>
        <v/>
      </c>
    </row>
    <row r="337">
      <c r="K337">
        <f>IF(AND($H337="No",$I337&lt;&gt;"",$I337&lt;=TODAY()+2),COUNTIFS($H$2:$H337,"No",$I$2:$I337,"&lt;&gt;"&amp;"",$I$2:$I337,"&lt;="&amp;TODAY()+2),"")</f>
        <v/>
      </c>
    </row>
    <row r="338">
      <c r="K338">
        <f>IF(AND($H338="No",$I338&lt;&gt;"",$I338&lt;=TODAY()+2),COUNTIFS($H$2:$H338,"No",$I$2:$I338,"&lt;&gt;"&amp;"",$I$2:$I338,"&lt;="&amp;TODAY()+2),"")</f>
        <v/>
      </c>
    </row>
    <row r="339">
      <c r="K339">
        <f>IF(AND($H339="No",$I339&lt;&gt;"",$I339&lt;=TODAY()+2),COUNTIFS($H$2:$H339,"No",$I$2:$I339,"&lt;&gt;"&amp;"",$I$2:$I339,"&lt;="&amp;TODAY()+2),"")</f>
        <v/>
      </c>
    </row>
    <row r="340">
      <c r="K340">
        <f>IF(AND($H340="No",$I340&lt;&gt;"",$I340&lt;=TODAY()+2),COUNTIFS($H$2:$H340,"No",$I$2:$I340,"&lt;&gt;"&amp;"",$I$2:$I340,"&lt;="&amp;TODAY()+2),"")</f>
        <v/>
      </c>
    </row>
    <row r="341">
      <c r="K341">
        <f>IF(AND($H341="No",$I341&lt;&gt;"",$I341&lt;=TODAY()+2),COUNTIFS($H$2:$H341,"No",$I$2:$I341,"&lt;&gt;"&amp;"",$I$2:$I341,"&lt;="&amp;TODAY()+2),"")</f>
        <v/>
      </c>
    </row>
    <row r="342">
      <c r="K342">
        <f>IF(AND($H342="No",$I342&lt;&gt;"",$I342&lt;=TODAY()+2),COUNTIFS($H$2:$H342,"No",$I$2:$I342,"&lt;&gt;"&amp;"",$I$2:$I342,"&lt;="&amp;TODAY()+2),"")</f>
        <v/>
      </c>
    </row>
    <row r="343">
      <c r="K343">
        <f>IF(AND($H343="No",$I343&lt;&gt;"",$I343&lt;=TODAY()+2),COUNTIFS($H$2:$H343,"No",$I$2:$I343,"&lt;&gt;"&amp;"",$I$2:$I343,"&lt;="&amp;TODAY()+2),"")</f>
        <v/>
      </c>
    </row>
    <row r="344">
      <c r="K344">
        <f>IF(AND($H344="No",$I344&lt;&gt;"",$I344&lt;=TODAY()+2),COUNTIFS($H$2:$H344,"No",$I$2:$I344,"&lt;&gt;"&amp;"",$I$2:$I344,"&lt;="&amp;TODAY()+2),"")</f>
        <v/>
      </c>
    </row>
    <row r="345">
      <c r="K345">
        <f>IF(AND($H345="No",$I345&lt;&gt;"",$I345&lt;=TODAY()+2),COUNTIFS($H$2:$H345,"No",$I$2:$I345,"&lt;&gt;"&amp;"",$I$2:$I345,"&lt;="&amp;TODAY()+2),"")</f>
        <v/>
      </c>
    </row>
    <row r="346">
      <c r="K346">
        <f>IF(AND($H346="No",$I346&lt;&gt;"",$I346&lt;=TODAY()+2),COUNTIFS($H$2:$H346,"No",$I$2:$I346,"&lt;&gt;"&amp;"",$I$2:$I346,"&lt;="&amp;TODAY()+2),"")</f>
        <v/>
      </c>
    </row>
    <row r="347">
      <c r="K347">
        <f>IF(AND($H347="No",$I347&lt;&gt;"",$I347&lt;=TODAY()+2),COUNTIFS($H$2:$H347,"No",$I$2:$I347,"&lt;&gt;"&amp;"",$I$2:$I347,"&lt;="&amp;TODAY()+2),"")</f>
        <v/>
      </c>
    </row>
    <row r="348">
      <c r="K348">
        <f>IF(AND($H348="No",$I348&lt;&gt;"",$I348&lt;=TODAY()+2),COUNTIFS($H$2:$H348,"No",$I$2:$I348,"&lt;&gt;"&amp;"",$I$2:$I348,"&lt;="&amp;TODAY()+2),"")</f>
        <v/>
      </c>
    </row>
    <row r="349">
      <c r="K349">
        <f>IF(AND($H349="No",$I349&lt;&gt;"",$I349&lt;=TODAY()+2),COUNTIFS($H$2:$H349,"No",$I$2:$I349,"&lt;&gt;"&amp;"",$I$2:$I349,"&lt;="&amp;TODAY()+2),"")</f>
        <v/>
      </c>
    </row>
    <row r="350">
      <c r="K350">
        <f>IF(AND($H350="No",$I350&lt;&gt;"",$I350&lt;=TODAY()+2),COUNTIFS($H$2:$H350,"No",$I$2:$I350,"&lt;&gt;"&amp;"",$I$2:$I350,"&lt;="&amp;TODAY()+2),"")</f>
        <v/>
      </c>
    </row>
    <row r="351">
      <c r="K351">
        <f>IF(AND($H351="No",$I351&lt;&gt;"",$I351&lt;=TODAY()+2),COUNTIFS($H$2:$H351,"No",$I$2:$I351,"&lt;&gt;"&amp;"",$I$2:$I351,"&lt;="&amp;TODAY()+2),"")</f>
        <v/>
      </c>
    </row>
    <row r="352">
      <c r="K352">
        <f>IF(AND($H352="No",$I352&lt;&gt;"",$I352&lt;=TODAY()+2),COUNTIFS($H$2:$H352,"No",$I$2:$I352,"&lt;&gt;"&amp;"",$I$2:$I352,"&lt;="&amp;TODAY()+2),"")</f>
        <v/>
      </c>
    </row>
    <row r="353">
      <c r="K353">
        <f>IF(AND($H353="No",$I353&lt;&gt;"",$I353&lt;=TODAY()+2),COUNTIFS($H$2:$H353,"No",$I$2:$I353,"&lt;&gt;"&amp;"",$I$2:$I353,"&lt;="&amp;TODAY()+2),"")</f>
        <v/>
      </c>
    </row>
    <row r="354">
      <c r="K354">
        <f>IF(AND($H354="No",$I354&lt;&gt;"",$I354&lt;=TODAY()+2),COUNTIFS($H$2:$H354,"No",$I$2:$I354,"&lt;&gt;"&amp;"",$I$2:$I354,"&lt;="&amp;TODAY()+2),"")</f>
        <v/>
      </c>
    </row>
    <row r="355">
      <c r="K355">
        <f>IF(AND($H355="No",$I355&lt;&gt;"",$I355&lt;=TODAY()+2),COUNTIFS($H$2:$H355,"No",$I$2:$I355,"&lt;&gt;"&amp;"",$I$2:$I355,"&lt;="&amp;TODAY()+2),"")</f>
        <v/>
      </c>
    </row>
    <row r="356">
      <c r="K356">
        <f>IF(AND($H356="No",$I356&lt;&gt;"",$I356&lt;=TODAY()+2),COUNTIFS($H$2:$H356,"No",$I$2:$I356,"&lt;&gt;"&amp;"",$I$2:$I356,"&lt;="&amp;TODAY()+2),"")</f>
        <v/>
      </c>
    </row>
    <row r="357">
      <c r="K357">
        <f>IF(AND($H357="No",$I357&lt;&gt;"",$I357&lt;=TODAY()+2),COUNTIFS($H$2:$H357,"No",$I$2:$I357,"&lt;&gt;"&amp;"",$I$2:$I357,"&lt;="&amp;TODAY()+2),"")</f>
        <v/>
      </c>
    </row>
    <row r="358">
      <c r="K358">
        <f>IF(AND($H358="No",$I358&lt;&gt;"",$I358&lt;=TODAY()+2),COUNTIFS($H$2:$H358,"No",$I$2:$I358,"&lt;&gt;"&amp;"",$I$2:$I358,"&lt;="&amp;TODAY()+2),"")</f>
        <v/>
      </c>
    </row>
    <row r="359">
      <c r="K359">
        <f>IF(AND($H359="No",$I359&lt;&gt;"",$I359&lt;=TODAY()+2),COUNTIFS($H$2:$H359,"No",$I$2:$I359,"&lt;&gt;"&amp;"",$I$2:$I359,"&lt;="&amp;TODAY()+2),"")</f>
        <v/>
      </c>
    </row>
    <row r="360">
      <c r="K360">
        <f>IF(AND($H360="No",$I360&lt;&gt;"",$I360&lt;=TODAY()+2),COUNTIFS($H$2:$H360,"No",$I$2:$I360,"&lt;&gt;"&amp;"",$I$2:$I360,"&lt;="&amp;TODAY()+2),"")</f>
        <v/>
      </c>
    </row>
    <row r="361">
      <c r="K361">
        <f>IF(AND($H361="No",$I361&lt;&gt;"",$I361&lt;=TODAY()+2),COUNTIFS($H$2:$H361,"No",$I$2:$I361,"&lt;&gt;"&amp;"",$I$2:$I361,"&lt;="&amp;TODAY()+2),"")</f>
        <v/>
      </c>
    </row>
    <row r="362">
      <c r="K362">
        <f>IF(AND($H362="No",$I362&lt;&gt;"",$I362&lt;=TODAY()+2),COUNTIFS($H$2:$H362,"No",$I$2:$I362,"&lt;&gt;"&amp;"",$I$2:$I362,"&lt;="&amp;TODAY()+2),"")</f>
        <v/>
      </c>
    </row>
    <row r="363">
      <c r="K363">
        <f>IF(AND($H363="No",$I363&lt;&gt;"",$I363&lt;=TODAY()+2),COUNTIFS($H$2:$H363,"No",$I$2:$I363,"&lt;&gt;"&amp;"",$I$2:$I363,"&lt;="&amp;TODAY()+2),"")</f>
        <v/>
      </c>
    </row>
    <row r="364">
      <c r="K364">
        <f>IF(AND($H364="No",$I364&lt;&gt;"",$I364&lt;=TODAY()+2),COUNTIFS($H$2:$H364,"No",$I$2:$I364,"&lt;&gt;"&amp;"",$I$2:$I364,"&lt;="&amp;TODAY()+2),"")</f>
        <v/>
      </c>
    </row>
    <row r="365">
      <c r="K365">
        <f>IF(AND($H365="No",$I365&lt;&gt;"",$I365&lt;=TODAY()+2),COUNTIFS($H$2:$H365,"No",$I$2:$I365,"&lt;&gt;"&amp;"",$I$2:$I365,"&lt;="&amp;TODAY()+2),"")</f>
        <v/>
      </c>
    </row>
    <row r="366">
      <c r="K366">
        <f>IF(AND($H366="No",$I366&lt;&gt;"",$I366&lt;=TODAY()+2),COUNTIFS($H$2:$H366,"No",$I$2:$I366,"&lt;&gt;"&amp;"",$I$2:$I366,"&lt;="&amp;TODAY()+2),"")</f>
        <v/>
      </c>
    </row>
    <row r="367">
      <c r="K367">
        <f>IF(AND($H367="No",$I367&lt;&gt;"",$I367&lt;=TODAY()+2),COUNTIFS($H$2:$H367,"No",$I$2:$I367,"&lt;&gt;"&amp;"",$I$2:$I367,"&lt;="&amp;TODAY()+2),"")</f>
        <v/>
      </c>
    </row>
    <row r="368">
      <c r="K368">
        <f>IF(AND($H368="No",$I368&lt;&gt;"",$I368&lt;=TODAY()+2),COUNTIFS($H$2:$H368,"No",$I$2:$I368,"&lt;&gt;"&amp;"",$I$2:$I368,"&lt;="&amp;TODAY()+2),"")</f>
        <v/>
      </c>
    </row>
    <row r="369">
      <c r="K369">
        <f>IF(AND($H369="No",$I369&lt;&gt;"",$I369&lt;=TODAY()+2),COUNTIFS($H$2:$H369,"No",$I$2:$I369,"&lt;&gt;"&amp;"",$I$2:$I369,"&lt;="&amp;TODAY()+2),"")</f>
        <v/>
      </c>
    </row>
    <row r="370">
      <c r="K370">
        <f>IF(AND($H370="No",$I370&lt;&gt;"",$I370&lt;=TODAY()+2),COUNTIFS($H$2:$H370,"No",$I$2:$I370,"&lt;&gt;"&amp;"",$I$2:$I370,"&lt;="&amp;TODAY()+2),"")</f>
        <v/>
      </c>
    </row>
    <row r="371">
      <c r="K371">
        <f>IF(AND($H371="No",$I371&lt;&gt;"",$I371&lt;=TODAY()+2),COUNTIFS($H$2:$H371,"No",$I$2:$I371,"&lt;&gt;"&amp;"",$I$2:$I371,"&lt;="&amp;TODAY()+2),"")</f>
        <v/>
      </c>
    </row>
    <row r="372">
      <c r="K372">
        <f>IF(AND($H372="No",$I372&lt;&gt;"",$I372&lt;=TODAY()+2),COUNTIFS($H$2:$H372,"No",$I$2:$I372,"&lt;&gt;"&amp;"",$I$2:$I372,"&lt;="&amp;TODAY()+2),"")</f>
        <v/>
      </c>
    </row>
    <row r="373">
      <c r="K373">
        <f>IF(AND($H373="No",$I373&lt;&gt;"",$I373&lt;=TODAY()+2),COUNTIFS($H$2:$H373,"No",$I$2:$I373,"&lt;&gt;"&amp;"",$I$2:$I373,"&lt;="&amp;TODAY()+2),"")</f>
        <v/>
      </c>
    </row>
    <row r="374">
      <c r="K374">
        <f>IF(AND($H374="No",$I374&lt;&gt;"",$I374&lt;=TODAY()+2),COUNTIFS($H$2:$H374,"No",$I$2:$I374,"&lt;&gt;"&amp;"",$I$2:$I374,"&lt;="&amp;TODAY()+2),"")</f>
        <v/>
      </c>
    </row>
    <row r="375">
      <c r="K375">
        <f>IF(AND($H375="No",$I375&lt;&gt;"",$I375&lt;=TODAY()+2),COUNTIFS($H$2:$H375,"No",$I$2:$I375,"&lt;&gt;"&amp;"",$I$2:$I375,"&lt;="&amp;TODAY()+2),"")</f>
        <v/>
      </c>
    </row>
    <row r="376">
      <c r="K376">
        <f>IF(AND($H376="No",$I376&lt;&gt;"",$I376&lt;=TODAY()+2),COUNTIFS($H$2:$H376,"No",$I$2:$I376,"&lt;&gt;"&amp;"",$I$2:$I376,"&lt;="&amp;TODAY()+2),"")</f>
        <v/>
      </c>
    </row>
    <row r="377">
      <c r="K377">
        <f>IF(AND($H377="No",$I377&lt;&gt;"",$I377&lt;=TODAY()+2),COUNTIFS($H$2:$H377,"No",$I$2:$I377,"&lt;&gt;"&amp;"",$I$2:$I377,"&lt;="&amp;TODAY()+2),"")</f>
        <v/>
      </c>
    </row>
    <row r="378">
      <c r="K378">
        <f>IF(AND($H378="No",$I378&lt;&gt;"",$I378&lt;=TODAY()+2),COUNTIFS($H$2:$H378,"No",$I$2:$I378,"&lt;&gt;"&amp;"",$I$2:$I378,"&lt;="&amp;TODAY()+2),"")</f>
        <v/>
      </c>
    </row>
    <row r="379">
      <c r="K379">
        <f>IF(AND($H379="No",$I379&lt;&gt;"",$I379&lt;=TODAY()+2),COUNTIFS($H$2:$H379,"No",$I$2:$I379,"&lt;&gt;"&amp;"",$I$2:$I379,"&lt;="&amp;TODAY()+2),"")</f>
        <v/>
      </c>
    </row>
    <row r="380">
      <c r="K380">
        <f>IF(AND($H380="No",$I380&lt;&gt;"",$I380&lt;=TODAY()+2),COUNTIFS($H$2:$H380,"No",$I$2:$I380,"&lt;&gt;"&amp;"",$I$2:$I380,"&lt;="&amp;TODAY()+2),"")</f>
        <v/>
      </c>
    </row>
    <row r="381">
      <c r="K381">
        <f>IF(AND($H381="No",$I381&lt;&gt;"",$I381&lt;=TODAY()+2),COUNTIFS($H$2:$H381,"No",$I$2:$I381,"&lt;&gt;"&amp;"",$I$2:$I381,"&lt;="&amp;TODAY()+2),"")</f>
        <v/>
      </c>
    </row>
    <row r="382">
      <c r="K382">
        <f>IF(AND($H382="No",$I382&lt;&gt;"",$I382&lt;=TODAY()+2),COUNTIFS($H$2:$H382,"No",$I$2:$I382,"&lt;&gt;"&amp;"",$I$2:$I382,"&lt;="&amp;TODAY()+2),"")</f>
        <v/>
      </c>
    </row>
    <row r="383">
      <c r="K383">
        <f>IF(AND($H383="No",$I383&lt;&gt;"",$I383&lt;=TODAY()+2),COUNTIFS($H$2:$H383,"No",$I$2:$I383,"&lt;&gt;"&amp;"",$I$2:$I383,"&lt;="&amp;TODAY()+2),"")</f>
        <v/>
      </c>
    </row>
    <row r="384">
      <c r="K384">
        <f>IF(AND($H384="No",$I384&lt;&gt;"",$I384&lt;=TODAY()+2),COUNTIFS($H$2:$H384,"No",$I$2:$I384,"&lt;&gt;"&amp;"",$I$2:$I384,"&lt;="&amp;TODAY()+2),"")</f>
        <v/>
      </c>
    </row>
    <row r="385">
      <c r="K385">
        <f>IF(AND($H385="No",$I385&lt;&gt;"",$I385&lt;=TODAY()+2),COUNTIFS($H$2:$H385,"No",$I$2:$I385,"&lt;&gt;"&amp;"",$I$2:$I385,"&lt;="&amp;TODAY()+2),"")</f>
        <v/>
      </c>
    </row>
    <row r="386">
      <c r="K386">
        <f>IF(AND($H386="No",$I386&lt;&gt;"",$I386&lt;=TODAY()+2),COUNTIFS($H$2:$H386,"No",$I$2:$I386,"&lt;&gt;"&amp;"",$I$2:$I386,"&lt;="&amp;TODAY()+2),"")</f>
        <v/>
      </c>
    </row>
    <row r="387">
      <c r="K387">
        <f>IF(AND($H387="No",$I387&lt;&gt;"",$I387&lt;=TODAY()+2),COUNTIFS($H$2:$H387,"No",$I$2:$I387,"&lt;&gt;"&amp;"",$I$2:$I387,"&lt;="&amp;TODAY()+2),"")</f>
        <v/>
      </c>
    </row>
    <row r="388">
      <c r="K388">
        <f>IF(AND($H388="No",$I388&lt;&gt;"",$I388&lt;=TODAY()+2),COUNTIFS($H$2:$H388,"No",$I$2:$I388,"&lt;&gt;"&amp;"",$I$2:$I388,"&lt;="&amp;TODAY()+2),"")</f>
        <v/>
      </c>
    </row>
    <row r="389">
      <c r="K389">
        <f>IF(AND($H389="No",$I389&lt;&gt;"",$I389&lt;=TODAY()+2),COUNTIFS($H$2:$H389,"No",$I$2:$I389,"&lt;&gt;"&amp;"",$I$2:$I389,"&lt;="&amp;TODAY()+2),"")</f>
        <v/>
      </c>
    </row>
    <row r="390">
      <c r="K390">
        <f>IF(AND($H390="No",$I390&lt;&gt;"",$I390&lt;=TODAY()+2),COUNTIFS($H$2:$H390,"No",$I$2:$I390,"&lt;&gt;"&amp;"",$I$2:$I390,"&lt;="&amp;TODAY()+2),"")</f>
        <v/>
      </c>
    </row>
    <row r="391">
      <c r="K391">
        <f>IF(AND($H391="No",$I391&lt;&gt;"",$I391&lt;=TODAY()+2),COUNTIFS($H$2:$H391,"No",$I$2:$I391,"&lt;&gt;"&amp;"",$I$2:$I391,"&lt;="&amp;TODAY()+2),"")</f>
        <v/>
      </c>
    </row>
    <row r="392">
      <c r="K392">
        <f>IF(AND($H392="No",$I392&lt;&gt;"",$I392&lt;=TODAY()+2),COUNTIFS($H$2:$H392,"No",$I$2:$I392,"&lt;&gt;"&amp;"",$I$2:$I392,"&lt;="&amp;TODAY()+2),"")</f>
        <v/>
      </c>
    </row>
    <row r="393">
      <c r="K393">
        <f>IF(AND($H393="No",$I393&lt;&gt;"",$I393&lt;=TODAY()+2),COUNTIFS($H$2:$H393,"No",$I$2:$I393,"&lt;&gt;"&amp;"",$I$2:$I393,"&lt;="&amp;TODAY()+2),"")</f>
        <v/>
      </c>
    </row>
    <row r="394">
      <c r="K394">
        <f>IF(AND($H394="No",$I394&lt;&gt;"",$I394&lt;=TODAY()+2),COUNTIFS($H$2:$H394,"No",$I$2:$I394,"&lt;&gt;"&amp;"",$I$2:$I394,"&lt;="&amp;TODAY()+2),"")</f>
        <v/>
      </c>
    </row>
    <row r="395">
      <c r="K395">
        <f>IF(AND($H395="No",$I395&lt;&gt;"",$I395&lt;=TODAY()+2),COUNTIFS($H$2:$H395,"No",$I$2:$I395,"&lt;&gt;"&amp;"",$I$2:$I395,"&lt;="&amp;TODAY()+2),"")</f>
        <v/>
      </c>
    </row>
    <row r="396">
      <c r="K396">
        <f>IF(AND($H396="No",$I396&lt;&gt;"",$I396&lt;=TODAY()+2),COUNTIFS($H$2:$H396,"No",$I$2:$I396,"&lt;&gt;"&amp;"",$I$2:$I396,"&lt;="&amp;TODAY()+2),"")</f>
        <v/>
      </c>
    </row>
    <row r="397">
      <c r="K397">
        <f>IF(AND($H397="No",$I397&lt;&gt;"",$I397&lt;=TODAY()+2),COUNTIFS($H$2:$H397,"No",$I$2:$I397,"&lt;&gt;"&amp;"",$I$2:$I397,"&lt;="&amp;TODAY()+2),"")</f>
        <v/>
      </c>
    </row>
    <row r="398">
      <c r="K398">
        <f>IF(AND($H398="No",$I398&lt;&gt;"",$I398&lt;=TODAY()+2),COUNTIFS($H$2:$H398,"No",$I$2:$I398,"&lt;&gt;"&amp;"",$I$2:$I398,"&lt;="&amp;TODAY()+2),"")</f>
        <v/>
      </c>
    </row>
    <row r="399">
      <c r="K399">
        <f>IF(AND($H399="No",$I399&lt;&gt;"",$I399&lt;=TODAY()+2),COUNTIFS($H$2:$H399,"No",$I$2:$I399,"&lt;&gt;"&amp;"",$I$2:$I399,"&lt;="&amp;TODAY()+2),"")</f>
        <v/>
      </c>
    </row>
    <row r="400">
      <c r="K400">
        <f>IF(AND($H400="No",$I400&lt;&gt;"",$I400&lt;=TODAY()+2),COUNTIFS($H$2:$H400,"No",$I$2:$I400,"&lt;&gt;"&amp;"",$I$2:$I400,"&lt;="&amp;TODAY()+2),"")</f>
        <v/>
      </c>
    </row>
    <row r="401">
      <c r="K401">
        <f>IF(AND($H401="No",$I401&lt;&gt;"",$I401&lt;=TODAY()+2),COUNTIFS($H$2:$H401,"No",$I$2:$I401,"&lt;&gt;"&amp;"",$I$2:$I401,"&lt;="&amp;TODAY()+2),"")</f>
        <v/>
      </c>
    </row>
    <row r="402">
      <c r="K402">
        <f>IF(AND($H402="No",$I402&lt;&gt;"",$I402&lt;=TODAY()+2),COUNTIFS($H$2:$H402,"No",$I$2:$I402,"&lt;&gt;"&amp;"",$I$2:$I402,"&lt;="&amp;TODAY()+2),"")</f>
        <v/>
      </c>
    </row>
    <row r="403">
      <c r="K403">
        <f>IF(AND($H403="No",$I403&lt;&gt;"",$I403&lt;=TODAY()+2),COUNTIFS($H$2:$H403,"No",$I$2:$I403,"&lt;&gt;"&amp;"",$I$2:$I403,"&lt;="&amp;TODAY()+2),"")</f>
        <v/>
      </c>
    </row>
    <row r="404">
      <c r="K404">
        <f>IF(AND($H404="No",$I404&lt;&gt;"",$I404&lt;=TODAY()+2),COUNTIFS($H$2:$H404,"No",$I$2:$I404,"&lt;&gt;"&amp;"",$I$2:$I404,"&lt;="&amp;TODAY()+2),"")</f>
        <v/>
      </c>
    </row>
    <row r="405">
      <c r="K405">
        <f>IF(AND($H405="No",$I405&lt;&gt;"",$I405&lt;=TODAY()+2),COUNTIFS($H$2:$H405,"No",$I$2:$I405,"&lt;&gt;"&amp;"",$I$2:$I405,"&lt;="&amp;TODAY()+2),"")</f>
        <v/>
      </c>
    </row>
    <row r="406">
      <c r="K406">
        <f>IF(AND($H406="No",$I406&lt;&gt;"",$I406&lt;=TODAY()+2),COUNTIFS($H$2:$H406,"No",$I$2:$I406,"&lt;&gt;"&amp;"",$I$2:$I406,"&lt;="&amp;TODAY()+2),"")</f>
        <v/>
      </c>
    </row>
    <row r="407">
      <c r="K407">
        <f>IF(AND($H407="No",$I407&lt;&gt;"",$I407&lt;=TODAY()+2),COUNTIFS($H$2:$H407,"No",$I$2:$I407,"&lt;&gt;"&amp;"",$I$2:$I407,"&lt;="&amp;TODAY()+2),"")</f>
        <v/>
      </c>
    </row>
    <row r="408">
      <c r="K408">
        <f>IF(AND($H408="No",$I408&lt;&gt;"",$I408&lt;=TODAY()+2),COUNTIFS($H$2:$H408,"No",$I$2:$I408,"&lt;&gt;"&amp;"",$I$2:$I408,"&lt;="&amp;TODAY()+2),"")</f>
        <v/>
      </c>
    </row>
    <row r="409">
      <c r="K409">
        <f>IF(AND($H409="No",$I409&lt;&gt;"",$I409&lt;=TODAY()+2),COUNTIFS($H$2:$H409,"No",$I$2:$I409,"&lt;&gt;"&amp;"",$I$2:$I409,"&lt;="&amp;TODAY()+2),"")</f>
        <v/>
      </c>
    </row>
    <row r="410">
      <c r="K410">
        <f>IF(AND($H410="No",$I410&lt;&gt;"",$I410&lt;=TODAY()+2),COUNTIFS($H$2:$H410,"No",$I$2:$I410,"&lt;&gt;"&amp;"",$I$2:$I410,"&lt;="&amp;TODAY()+2),"")</f>
        <v/>
      </c>
    </row>
    <row r="411">
      <c r="K411">
        <f>IF(AND($H411="No",$I411&lt;&gt;"",$I411&lt;=TODAY()+2),COUNTIFS($H$2:$H411,"No",$I$2:$I411,"&lt;&gt;"&amp;"",$I$2:$I411,"&lt;="&amp;TODAY()+2),"")</f>
        <v/>
      </c>
    </row>
    <row r="412">
      <c r="K412">
        <f>IF(AND($H412="No",$I412&lt;&gt;"",$I412&lt;=TODAY()+2),COUNTIFS($H$2:$H412,"No",$I$2:$I412,"&lt;&gt;"&amp;"",$I$2:$I412,"&lt;="&amp;TODAY()+2),"")</f>
        <v/>
      </c>
    </row>
    <row r="413">
      <c r="K413">
        <f>IF(AND($H413="No",$I413&lt;&gt;"",$I413&lt;=TODAY()+2),COUNTIFS($H$2:$H413,"No",$I$2:$I413,"&lt;&gt;"&amp;"",$I$2:$I413,"&lt;="&amp;TODAY()+2),"")</f>
        <v/>
      </c>
    </row>
    <row r="414">
      <c r="K414">
        <f>IF(AND($H414="No",$I414&lt;&gt;"",$I414&lt;=TODAY()+2),COUNTIFS($H$2:$H414,"No",$I$2:$I414,"&lt;&gt;"&amp;"",$I$2:$I414,"&lt;="&amp;TODAY()+2),"")</f>
        <v/>
      </c>
    </row>
    <row r="415">
      <c r="K415">
        <f>IF(AND($H415="No",$I415&lt;&gt;"",$I415&lt;=TODAY()+2),COUNTIFS($H$2:$H415,"No",$I$2:$I415,"&lt;&gt;"&amp;"",$I$2:$I415,"&lt;="&amp;TODAY()+2),"")</f>
        <v/>
      </c>
    </row>
    <row r="416">
      <c r="K416">
        <f>IF(AND($H416="No",$I416&lt;&gt;"",$I416&lt;=TODAY()+2),COUNTIFS($H$2:$H416,"No",$I$2:$I416,"&lt;&gt;"&amp;"",$I$2:$I416,"&lt;="&amp;TODAY()+2),"")</f>
        <v/>
      </c>
    </row>
    <row r="417">
      <c r="K417">
        <f>IF(AND($H417="No",$I417&lt;&gt;"",$I417&lt;=TODAY()+2),COUNTIFS($H$2:$H417,"No",$I$2:$I417,"&lt;&gt;"&amp;"",$I$2:$I417,"&lt;="&amp;TODAY()+2),"")</f>
        <v/>
      </c>
    </row>
    <row r="418">
      <c r="K418">
        <f>IF(AND($H418="No",$I418&lt;&gt;"",$I418&lt;=TODAY()+2),COUNTIFS($H$2:$H418,"No",$I$2:$I418,"&lt;&gt;"&amp;"",$I$2:$I418,"&lt;="&amp;TODAY()+2),"")</f>
        <v/>
      </c>
    </row>
    <row r="419">
      <c r="K419">
        <f>IF(AND($H419="No",$I419&lt;&gt;"",$I419&lt;=TODAY()+2),COUNTIFS($H$2:$H419,"No",$I$2:$I419,"&lt;&gt;"&amp;"",$I$2:$I419,"&lt;="&amp;TODAY()+2),"")</f>
        <v/>
      </c>
    </row>
    <row r="420">
      <c r="K420">
        <f>IF(AND($H420="No",$I420&lt;&gt;"",$I420&lt;=TODAY()+2),COUNTIFS($H$2:$H420,"No",$I$2:$I420,"&lt;&gt;"&amp;"",$I$2:$I420,"&lt;="&amp;TODAY()+2),"")</f>
        <v/>
      </c>
    </row>
    <row r="421">
      <c r="K421">
        <f>IF(AND($H421="No",$I421&lt;&gt;"",$I421&lt;=TODAY()+2),COUNTIFS($H$2:$H421,"No",$I$2:$I421,"&lt;&gt;"&amp;"",$I$2:$I421,"&lt;="&amp;TODAY()+2),"")</f>
        <v/>
      </c>
    </row>
    <row r="422">
      <c r="K422">
        <f>IF(AND($H422="No",$I422&lt;&gt;"",$I422&lt;=TODAY()+2),COUNTIFS($H$2:$H422,"No",$I$2:$I422,"&lt;&gt;"&amp;"",$I$2:$I422,"&lt;="&amp;TODAY()+2),"")</f>
        <v/>
      </c>
    </row>
    <row r="423">
      <c r="K423">
        <f>IF(AND($H423="No",$I423&lt;&gt;"",$I423&lt;=TODAY()+2),COUNTIFS($H$2:$H423,"No",$I$2:$I423,"&lt;&gt;"&amp;"",$I$2:$I423,"&lt;="&amp;TODAY()+2),"")</f>
        <v/>
      </c>
    </row>
    <row r="424">
      <c r="K424">
        <f>IF(AND($H424="No",$I424&lt;&gt;"",$I424&lt;=TODAY()+2),COUNTIFS($H$2:$H424,"No",$I$2:$I424,"&lt;&gt;"&amp;"",$I$2:$I424,"&lt;="&amp;TODAY()+2),"")</f>
        <v/>
      </c>
    </row>
    <row r="425">
      <c r="K425">
        <f>IF(AND($H425="No",$I425&lt;&gt;"",$I425&lt;=TODAY()+2),COUNTIFS($H$2:$H425,"No",$I$2:$I425,"&lt;&gt;"&amp;"",$I$2:$I425,"&lt;="&amp;TODAY()+2),"")</f>
        <v/>
      </c>
    </row>
    <row r="426">
      <c r="K426">
        <f>IF(AND($H426="No",$I426&lt;&gt;"",$I426&lt;=TODAY()+2),COUNTIFS($H$2:$H426,"No",$I$2:$I426,"&lt;&gt;"&amp;"",$I$2:$I426,"&lt;="&amp;TODAY()+2),"")</f>
        <v/>
      </c>
    </row>
    <row r="427">
      <c r="K427">
        <f>IF(AND($H427="No",$I427&lt;&gt;"",$I427&lt;=TODAY()+2),COUNTIFS($H$2:$H427,"No",$I$2:$I427,"&lt;&gt;"&amp;"",$I$2:$I427,"&lt;="&amp;TODAY()+2),"")</f>
        <v/>
      </c>
    </row>
    <row r="428">
      <c r="K428">
        <f>IF(AND($H428="No",$I428&lt;&gt;"",$I428&lt;=TODAY()+2),COUNTIFS($H$2:$H428,"No",$I$2:$I428,"&lt;&gt;"&amp;"",$I$2:$I428,"&lt;="&amp;TODAY()+2),"")</f>
        <v/>
      </c>
    </row>
    <row r="429">
      <c r="K429">
        <f>IF(AND($H429="No",$I429&lt;&gt;"",$I429&lt;=TODAY()+2),COUNTIFS($H$2:$H429,"No",$I$2:$I429,"&lt;&gt;"&amp;"",$I$2:$I429,"&lt;="&amp;TODAY()+2),"")</f>
        <v/>
      </c>
    </row>
    <row r="430">
      <c r="K430">
        <f>IF(AND($H430="No",$I430&lt;&gt;"",$I430&lt;=TODAY()+2),COUNTIFS($H$2:$H430,"No",$I$2:$I430,"&lt;&gt;"&amp;"",$I$2:$I430,"&lt;="&amp;TODAY()+2),"")</f>
        <v/>
      </c>
    </row>
    <row r="431">
      <c r="K431">
        <f>IF(AND($H431="No",$I431&lt;&gt;"",$I431&lt;=TODAY()+2),COUNTIFS($H$2:$H431,"No",$I$2:$I431,"&lt;&gt;"&amp;"",$I$2:$I431,"&lt;="&amp;TODAY()+2),"")</f>
        <v/>
      </c>
    </row>
    <row r="432">
      <c r="K432">
        <f>IF(AND($H432="No",$I432&lt;&gt;"",$I432&lt;=TODAY()+2),COUNTIFS($H$2:$H432,"No",$I$2:$I432,"&lt;&gt;"&amp;"",$I$2:$I432,"&lt;="&amp;TODAY()+2),"")</f>
        <v/>
      </c>
    </row>
    <row r="433">
      <c r="K433">
        <f>IF(AND($H433="No",$I433&lt;&gt;"",$I433&lt;=TODAY()+2),COUNTIFS($H$2:$H433,"No",$I$2:$I433,"&lt;&gt;"&amp;"",$I$2:$I433,"&lt;="&amp;TODAY()+2),"")</f>
        <v/>
      </c>
    </row>
    <row r="434">
      <c r="K434">
        <f>IF(AND($H434="No",$I434&lt;&gt;"",$I434&lt;=TODAY()+2),COUNTIFS($H$2:$H434,"No",$I$2:$I434,"&lt;&gt;"&amp;"",$I$2:$I434,"&lt;="&amp;TODAY()+2),"")</f>
        <v/>
      </c>
    </row>
    <row r="435">
      <c r="K435">
        <f>IF(AND($H435="No",$I435&lt;&gt;"",$I435&lt;=TODAY()+2),COUNTIFS($H$2:$H435,"No",$I$2:$I435,"&lt;&gt;"&amp;"",$I$2:$I435,"&lt;="&amp;TODAY()+2),"")</f>
        <v/>
      </c>
    </row>
    <row r="436">
      <c r="K436">
        <f>IF(AND($H436="No",$I436&lt;&gt;"",$I436&lt;=TODAY()+2),COUNTIFS($H$2:$H436,"No",$I$2:$I436,"&lt;&gt;"&amp;"",$I$2:$I436,"&lt;="&amp;TODAY()+2),"")</f>
        <v/>
      </c>
    </row>
    <row r="437">
      <c r="K437">
        <f>IF(AND($H437="No",$I437&lt;&gt;"",$I437&lt;=TODAY()+2),COUNTIFS($H$2:$H437,"No",$I$2:$I437,"&lt;&gt;"&amp;"",$I$2:$I437,"&lt;="&amp;TODAY()+2),"")</f>
        <v/>
      </c>
    </row>
    <row r="438">
      <c r="K438">
        <f>IF(AND($H438="No",$I438&lt;&gt;"",$I438&lt;=TODAY()+2),COUNTIFS($H$2:$H438,"No",$I$2:$I438,"&lt;&gt;"&amp;"",$I$2:$I438,"&lt;="&amp;TODAY()+2),"")</f>
        <v/>
      </c>
    </row>
    <row r="439">
      <c r="K439">
        <f>IF(AND($H439="No",$I439&lt;&gt;"",$I439&lt;=TODAY()+2),COUNTIFS($H$2:$H439,"No",$I$2:$I439,"&lt;&gt;"&amp;"",$I$2:$I439,"&lt;="&amp;TODAY()+2),"")</f>
        <v/>
      </c>
    </row>
    <row r="440">
      <c r="K440">
        <f>IF(AND($H440="No",$I440&lt;&gt;"",$I440&lt;=TODAY()+2),COUNTIFS($H$2:$H440,"No",$I$2:$I440,"&lt;&gt;"&amp;"",$I$2:$I440,"&lt;="&amp;TODAY()+2),"")</f>
        <v/>
      </c>
    </row>
    <row r="441">
      <c r="K441">
        <f>IF(AND($H441="No",$I441&lt;&gt;"",$I441&lt;=TODAY()+2),COUNTIFS($H$2:$H441,"No",$I$2:$I441,"&lt;&gt;"&amp;"",$I$2:$I441,"&lt;="&amp;TODAY()+2),"")</f>
        <v/>
      </c>
    </row>
    <row r="442">
      <c r="K442">
        <f>IF(AND($H442="No",$I442&lt;&gt;"",$I442&lt;=TODAY()+2),COUNTIFS($H$2:$H442,"No",$I$2:$I442,"&lt;&gt;"&amp;"",$I$2:$I442,"&lt;="&amp;TODAY()+2),"")</f>
        <v/>
      </c>
    </row>
    <row r="443">
      <c r="K443">
        <f>IF(AND($H443="No",$I443&lt;&gt;"",$I443&lt;=TODAY()+2),COUNTIFS($H$2:$H443,"No",$I$2:$I443,"&lt;&gt;"&amp;"",$I$2:$I443,"&lt;="&amp;TODAY()+2),"")</f>
        <v/>
      </c>
    </row>
    <row r="444">
      <c r="K444">
        <f>IF(AND($H444="No",$I444&lt;&gt;"",$I444&lt;=TODAY()+2),COUNTIFS($H$2:$H444,"No",$I$2:$I444,"&lt;&gt;"&amp;"",$I$2:$I444,"&lt;="&amp;TODAY()+2),"")</f>
        <v/>
      </c>
    </row>
    <row r="445">
      <c r="K445">
        <f>IF(AND($H445="No",$I445&lt;&gt;"",$I445&lt;=TODAY()+2),COUNTIFS($H$2:$H445,"No",$I$2:$I445,"&lt;&gt;"&amp;"",$I$2:$I445,"&lt;="&amp;TODAY()+2),"")</f>
        <v/>
      </c>
    </row>
    <row r="446">
      <c r="K446">
        <f>IF(AND($H446="No",$I446&lt;&gt;"",$I446&lt;=TODAY()+2),COUNTIFS($H$2:$H446,"No",$I$2:$I446,"&lt;&gt;"&amp;"",$I$2:$I446,"&lt;="&amp;TODAY()+2),"")</f>
        <v/>
      </c>
    </row>
    <row r="447">
      <c r="K447">
        <f>IF(AND($H447="No",$I447&lt;&gt;"",$I447&lt;=TODAY()+2),COUNTIFS($H$2:$H447,"No",$I$2:$I447,"&lt;&gt;"&amp;"",$I$2:$I447,"&lt;="&amp;TODAY()+2),"")</f>
        <v/>
      </c>
    </row>
    <row r="448">
      <c r="K448">
        <f>IF(AND($H448="No",$I448&lt;&gt;"",$I448&lt;=TODAY()+2),COUNTIFS($H$2:$H448,"No",$I$2:$I448,"&lt;&gt;"&amp;"",$I$2:$I448,"&lt;="&amp;TODAY()+2),"")</f>
        <v/>
      </c>
    </row>
    <row r="449">
      <c r="K449">
        <f>IF(AND($H449="No",$I449&lt;&gt;"",$I449&lt;=TODAY()+2),COUNTIFS($H$2:$H449,"No",$I$2:$I449,"&lt;&gt;"&amp;"",$I$2:$I449,"&lt;="&amp;TODAY()+2),"")</f>
        <v/>
      </c>
    </row>
    <row r="450">
      <c r="K450">
        <f>IF(AND($H450="No",$I450&lt;&gt;"",$I450&lt;=TODAY()+2),COUNTIFS($H$2:$H450,"No",$I$2:$I450,"&lt;&gt;"&amp;"",$I$2:$I450,"&lt;="&amp;TODAY()+2),"")</f>
        <v/>
      </c>
    </row>
    <row r="451">
      <c r="K451">
        <f>IF(AND($H451="No",$I451&lt;&gt;"",$I451&lt;=TODAY()+2),COUNTIFS($H$2:$H451,"No",$I$2:$I451,"&lt;&gt;"&amp;"",$I$2:$I451,"&lt;="&amp;TODAY()+2),"")</f>
        <v/>
      </c>
    </row>
    <row r="452">
      <c r="K452">
        <f>IF(AND($H452="No",$I452&lt;&gt;"",$I452&lt;=TODAY()+2),COUNTIFS($H$2:$H452,"No",$I$2:$I452,"&lt;&gt;"&amp;"",$I$2:$I452,"&lt;="&amp;TODAY()+2),"")</f>
        <v/>
      </c>
    </row>
    <row r="453">
      <c r="K453">
        <f>IF(AND($H453="No",$I453&lt;&gt;"",$I453&lt;=TODAY()+2),COUNTIFS($H$2:$H453,"No",$I$2:$I453,"&lt;&gt;"&amp;"",$I$2:$I453,"&lt;="&amp;TODAY()+2),"")</f>
        <v/>
      </c>
    </row>
    <row r="454">
      <c r="K454">
        <f>IF(AND($H454="No",$I454&lt;&gt;"",$I454&lt;=TODAY()+2),COUNTIFS($H$2:$H454,"No",$I$2:$I454,"&lt;&gt;"&amp;"",$I$2:$I454,"&lt;="&amp;TODAY()+2),"")</f>
        <v/>
      </c>
    </row>
    <row r="455">
      <c r="K455">
        <f>IF(AND($H455="No",$I455&lt;&gt;"",$I455&lt;=TODAY()+2),COUNTIFS($H$2:$H455,"No",$I$2:$I455,"&lt;&gt;"&amp;"",$I$2:$I455,"&lt;="&amp;TODAY()+2),"")</f>
        <v/>
      </c>
    </row>
    <row r="456">
      <c r="K456">
        <f>IF(AND($H456="No",$I456&lt;&gt;"",$I456&lt;=TODAY()+2),COUNTIFS($H$2:$H456,"No",$I$2:$I456,"&lt;&gt;"&amp;"",$I$2:$I456,"&lt;="&amp;TODAY()+2),"")</f>
        <v/>
      </c>
    </row>
    <row r="457">
      <c r="K457">
        <f>IF(AND($H457="No",$I457&lt;&gt;"",$I457&lt;=TODAY()+2),COUNTIFS($H$2:$H457,"No",$I$2:$I457,"&lt;&gt;"&amp;"",$I$2:$I457,"&lt;="&amp;TODAY()+2),"")</f>
        <v/>
      </c>
    </row>
    <row r="458">
      <c r="K458">
        <f>IF(AND($H458="No",$I458&lt;&gt;"",$I458&lt;=TODAY()+2),COUNTIFS($H$2:$H458,"No",$I$2:$I458,"&lt;&gt;"&amp;"",$I$2:$I458,"&lt;="&amp;TODAY()+2),"")</f>
        <v/>
      </c>
    </row>
    <row r="459">
      <c r="K459">
        <f>IF(AND($H459="No",$I459&lt;&gt;"",$I459&lt;=TODAY()+2),COUNTIFS($H$2:$H459,"No",$I$2:$I459,"&lt;&gt;"&amp;"",$I$2:$I459,"&lt;="&amp;TODAY()+2),"")</f>
        <v/>
      </c>
    </row>
    <row r="460">
      <c r="K460">
        <f>IF(AND($H460="No",$I460&lt;&gt;"",$I460&lt;=TODAY()+2),COUNTIFS($H$2:$H460,"No",$I$2:$I460,"&lt;&gt;"&amp;"",$I$2:$I460,"&lt;="&amp;TODAY()+2),"")</f>
        <v/>
      </c>
    </row>
    <row r="461">
      <c r="K461">
        <f>IF(AND($H461="No",$I461&lt;&gt;"",$I461&lt;=TODAY()+2),COUNTIFS($H$2:$H461,"No",$I$2:$I461,"&lt;&gt;"&amp;"",$I$2:$I461,"&lt;="&amp;TODAY()+2),"")</f>
        <v/>
      </c>
    </row>
    <row r="462">
      <c r="K462">
        <f>IF(AND($H462="No",$I462&lt;&gt;"",$I462&lt;=TODAY()+2),COUNTIFS($H$2:$H462,"No",$I$2:$I462,"&lt;&gt;"&amp;"",$I$2:$I462,"&lt;="&amp;TODAY()+2),"")</f>
        <v/>
      </c>
    </row>
    <row r="463">
      <c r="K463">
        <f>IF(AND($H463="No",$I463&lt;&gt;"",$I463&lt;=TODAY()+2),COUNTIFS($H$2:$H463,"No",$I$2:$I463,"&lt;&gt;"&amp;"",$I$2:$I463,"&lt;="&amp;TODAY()+2),"")</f>
        <v/>
      </c>
    </row>
    <row r="464">
      <c r="K464">
        <f>IF(AND($H464="No",$I464&lt;&gt;"",$I464&lt;=TODAY()+2),COUNTIFS($H$2:$H464,"No",$I$2:$I464,"&lt;&gt;"&amp;"",$I$2:$I464,"&lt;="&amp;TODAY()+2),"")</f>
        <v/>
      </c>
    </row>
    <row r="465">
      <c r="K465">
        <f>IF(AND($H465="No",$I465&lt;&gt;"",$I465&lt;=TODAY()+2),COUNTIFS($H$2:$H465,"No",$I$2:$I465,"&lt;&gt;"&amp;"",$I$2:$I465,"&lt;="&amp;TODAY()+2),"")</f>
        <v/>
      </c>
    </row>
    <row r="466">
      <c r="K466">
        <f>IF(AND($H466="No",$I466&lt;&gt;"",$I466&lt;=TODAY()+2),COUNTIFS($H$2:$H466,"No",$I$2:$I466,"&lt;&gt;"&amp;"",$I$2:$I466,"&lt;="&amp;TODAY()+2),"")</f>
        <v/>
      </c>
    </row>
    <row r="467">
      <c r="K467">
        <f>IF(AND($H467="No",$I467&lt;&gt;"",$I467&lt;=TODAY()+2),COUNTIFS($H$2:$H467,"No",$I$2:$I467,"&lt;&gt;"&amp;"",$I$2:$I467,"&lt;="&amp;TODAY()+2),"")</f>
        <v/>
      </c>
    </row>
    <row r="468">
      <c r="K468">
        <f>IF(AND($H468="No",$I468&lt;&gt;"",$I468&lt;=TODAY()+2),COUNTIFS($H$2:$H468,"No",$I$2:$I468,"&lt;&gt;"&amp;"",$I$2:$I468,"&lt;="&amp;TODAY()+2),"")</f>
        <v/>
      </c>
    </row>
    <row r="469">
      <c r="K469">
        <f>IF(AND($H469="No",$I469&lt;&gt;"",$I469&lt;=TODAY()+2),COUNTIFS($H$2:$H469,"No",$I$2:$I469,"&lt;&gt;"&amp;"",$I$2:$I469,"&lt;="&amp;TODAY()+2),"")</f>
        <v/>
      </c>
    </row>
    <row r="470">
      <c r="K470">
        <f>IF(AND($H470="No",$I470&lt;&gt;"",$I470&lt;=TODAY()+2),COUNTIFS($H$2:$H470,"No",$I$2:$I470,"&lt;&gt;"&amp;"",$I$2:$I470,"&lt;="&amp;TODAY()+2),"")</f>
        <v/>
      </c>
    </row>
    <row r="471">
      <c r="K471">
        <f>IF(AND($H471="No",$I471&lt;&gt;"",$I471&lt;=TODAY()+2),COUNTIFS($H$2:$H471,"No",$I$2:$I471,"&lt;&gt;"&amp;"",$I$2:$I471,"&lt;="&amp;TODAY()+2),"")</f>
        <v/>
      </c>
    </row>
    <row r="472">
      <c r="K472">
        <f>IF(AND($H472="No",$I472&lt;&gt;"",$I472&lt;=TODAY()+2),COUNTIFS($H$2:$H472,"No",$I$2:$I472,"&lt;&gt;"&amp;"",$I$2:$I472,"&lt;="&amp;TODAY()+2),"")</f>
        <v/>
      </c>
    </row>
    <row r="473">
      <c r="K473">
        <f>IF(AND($H473="No",$I473&lt;&gt;"",$I473&lt;=TODAY()+2),COUNTIFS($H$2:$H473,"No",$I$2:$I473,"&lt;&gt;"&amp;"",$I$2:$I473,"&lt;="&amp;TODAY()+2),"")</f>
        <v/>
      </c>
    </row>
    <row r="474">
      <c r="K474">
        <f>IF(AND($H474="No",$I474&lt;&gt;"",$I474&lt;=TODAY()+2),COUNTIFS($H$2:$H474,"No",$I$2:$I474,"&lt;&gt;"&amp;"",$I$2:$I474,"&lt;="&amp;TODAY()+2),"")</f>
        <v/>
      </c>
    </row>
    <row r="475">
      <c r="K475">
        <f>IF(AND($H475="No",$I475&lt;&gt;"",$I475&lt;=TODAY()+2),COUNTIFS($H$2:$H475,"No",$I$2:$I475,"&lt;&gt;"&amp;"",$I$2:$I475,"&lt;="&amp;TODAY()+2),"")</f>
        <v/>
      </c>
    </row>
    <row r="476">
      <c r="K476">
        <f>IF(AND($H476="No",$I476&lt;&gt;"",$I476&lt;=TODAY()+2),COUNTIFS($H$2:$H476,"No",$I$2:$I476,"&lt;&gt;"&amp;"",$I$2:$I476,"&lt;="&amp;TODAY()+2),"")</f>
        <v/>
      </c>
    </row>
    <row r="477">
      <c r="K477">
        <f>IF(AND($H477="No",$I477&lt;&gt;"",$I477&lt;=TODAY()+2),COUNTIFS($H$2:$H477,"No",$I$2:$I477,"&lt;&gt;"&amp;"",$I$2:$I477,"&lt;="&amp;TODAY()+2),"")</f>
        <v/>
      </c>
    </row>
    <row r="478">
      <c r="K478">
        <f>IF(AND($H478="No",$I478&lt;&gt;"",$I478&lt;=TODAY()+2),COUNTIFS($H$2:$H478,"No",$I$2:$I478,"&lt;&gt;"&amp;"",$I$2:$I478,"&lt;="&amp;TODAY()+2),"")</f>
        <v/>
      </c>
    </row>
    <row r="479">
      <c r="K479">
        <f>IF(AND($H479="No",$I479&lt;&gt;"",$I479&lt;=TODAY()+2),COUNTIFS($H$2:$H479,"No",$I$2:$I479,"&lt;&gt;"&amp;"",$I$2:$I479,"&lt;="&amp;TODAY()+2),"")</f>
        <v/>
      </c>
    </row>
    <row r="480">
      <c r="K480">
        <f>IF(AND($H480="No",$I480&lt;&gt;"",$I480&lt;=TODAY()+2),COUNTIFS($H$2:$H480,"No",$I$2:$I480,"&lt;&gt;"&amp;"",$I$2:$I480,"&lt;="&amp;TODAY()+2),"")</f>
        <v/>
      </c>
    </row>
    <row r="481">
      <c r="K481">
        <f>IF(AND($H481="No",$I481&lt;&gt;"",$I481&lt;=TODAY()+2),COUNTIFS($H$2:$H481,"No",$I$2:$I481,"&lt;&gt;"&amp;"",$I$2:$I481,"&lt;="&amp;TODAY()+2),"")</f>
        <v/>
      </c>
    </row>
    <row r="482">
      <c r="K482">
        <f>IF(AND($H482="No",$I482&lt;&gt;"",$I482&lt;=TODAY()+2),COUNTIFS($H$2:$H482,"No",$I$2:$I482,"&lt;&gt;"&amp;"",$I$2:$I482,"&lt;="&amp;TODAY()+2),"")</f>
        <v/>
      </c>
    </row>
    <row r="483">
      <c r="K483">
        <f>IF(AND($H483="No",$I483&lt;&gt;"",$I483&lt;=TODAY()+2),COUNTIFS($H$2:$H483,"No",$I$2:$I483,"&lt;&gt;"&amp;"",$I$2:$I483,"&lt;="&amp;TODAY()+2),"")</f>
        <v/>
      </c>
    </row>
    <row r="484">
      <c r="K484">
        <f>IF(AND($H484="No",$I484&lt;&gt;"",$I484&lt;=TODAY()+2),COUNTIFS($H$2:$H484,"No",$I$2:$I484,"&lt;&gt;"&amp;"",$I$2:$I484,"&lt;="&amp;TODAY()+2),"")</f>
        <v/>
      </c>
    </row>
    <row r="485">
      <c r="K485">
        <f>IF(AND($H485="No",$I485&lt;&gt;"",$I485&lt;=TODAY()+2),COUNTIFS($H$2:$H485,"No",$I$2:$I485,"&lt;&gt;"&amp;"",$I$2:$I485,"&lt;="&amp;TODAY()+2),"")</f>
        <v/>
      </c>
    </row>
    <row r="486">
      <c r="K486">
        <f>IF(AND($H486="No",$I486&lt;&gt;"",$I486&lt;=TODAY()+2),COUNTIFS($H$2:$H486,"No",$I$2:$I486,"&lt;&gt;"&amp;"",$I$2:$I486,"&lt;="&amp;TODAY()+2),"")</f>
        <v/>
      </c>
    </row>
    <row r="487">
      <c r="K487">
        <f>IF(AND($H487="No",$I487&lt;&gt;"",$I487&lt;=TODAY()+2),COUNTIFS($H$2:$H487,"No",$I$2:$I487,"&lt;&gt;"&amp;"",$I$2:$I487,"&lt;="&amp;TODAY()+2),"")</f>
        <v/>
      </c>
    </row>
    <row r="488">
      <c r="K488">
        <f>IF(AND($H488="No",$I488&lt;&gt;"",$I488&lt;=TODAY()+2),COUNTIFS($H$2:$H488,"No",$I$2:$I488,"&lt;&gt;"&amp;"",$I$2:$I488,"&lt;="&amp;TODAY()+2),"")</f>
        <v/>
      </c>
    </row>
    <row r="489">
      <c r="K489">
        <f>IF(AND($H489="No",$I489&lt;&gt;"",$I489&lt;=TODAY()+2),COUNTIFS($H$2:$H489,"No",$I$2:$I489,"&lt;&gt;"&amp;"",$I$2:$I489,"&lt;="&amp;TODAY()+2),"")</f>
        <v/>
      </c>
    </row>
    <row r="490">
      <c r="K490">
        <f>IF(AND($H490="No",$I490&lt;&gt;"",$I490&lt;=TODAY()+2),COUNTIFS($H$2:$H490,"No",$I$2:$I490,"&lt;&gt;"&amp;"",$I$2:$I490,"&lt;="&amp;TODAY()+2),"")</f>
        <v/>
      </c>
    </row>
    <row r="491">
      <c r="K491">
        <f>IF(AND($H491="No",$I491&lt;&gt;"",$I491&lt;=TODAY()+2),COUNTIFS($H$2:$H491,"No",$I$2:$I491,"&lt;&gt;"&amp;"",$I$2:$I491,"&lt;="&amp;TODAY()+2),"")</f>
        <v/>
      </c>
    </row>
    <row r="492">
      <c r="K492">
        <f>IF(AND($H492="No",$I492&lt;&gt;"",$I492&lt;=TODAY()+2),COUNTIFS($H$2:$H492,"No",$I$2:$I492,"&lt;&gt;"&amp;"",$I$2:$I492,"&lt;="&amp;TODAY()+2),"")</f>
        <v/>
      </c>
    </row>
    <row r="493">
      <c r="K493">
        <f>IF(AND($H493="No",$I493&lt;&gt;"",$I493&lt;=TODAY()+2),COUNTIFS($H$2:$H493,"No",$I$2:$I493,"&lt;&gt;"&amp;"",$I$2:$I493,"&lt;="&amp;TODAY()+2),"")</f>
        <v/>
      </c>
    </row>
    <row r="494">
      <c r="K494">
        <f>IF(AND($H494="No",$I494&lt;&gt;"",$I494&lt;=TODAY()+2),COUNTIFS($H$2:$H494,"No",$I$2:$I494,"&lt;&gt;"&amp;"",$I$2:$I494,"&lt;="&amp;TODAY()+2),"")</f>
        <v/>
      </c>
    </row>
    <row r="495">
      <c r="K495">
        <f>IF(AND($H495="No",$I495&lt;&gt;"",$I495&lt;=TODAY()+2),COUNTIFS($H$2:$H495,"No",$I$2:$I495,"&lt;&gt;"&amp;"",$I$2:$I495,"&lt;="&amp;TODAY()+2),"")</f>
        <v/>
      </c>
    </row>
    <row r="496">
      <c r="K496">
        <f>IF(AND($H496="No",$I496&lt;&gt;"",$I496&lt;=TODAY()+2),COUNTIFS($H$2:$H496,"No",$I$2:$I496,"&lt;&gt;"&amp;"",$I$2:$I496,"&lt;="&amp;TODAY()+2),"")</f>
        <v/>
      </c>
    </row>
    <row r="497">
      <c r="K497">
        <f>IF(AND($H497="No",$I497&lt;&gt;"",$I497&lt;=TODAY()+2),COUNTIFS($H$2:$H497,"No",$I$2:$I497,"&lt;&gt;"&amp;"",$I$2:$I497,"&lt;="&amp;TODAY()+2),"")</f>
        <v/>
      </c>
    </row>
    <row r="498">
      <c r="K498">
        <f>IF(AND($H498="No",$I498&lt;&gt;"",$I498&lt;=TODAY()+2),COUNTIFS($H$2:$H498,"No",$I$2:$I498,"&lt;&gt;"&amp;"",$I$2:$I498,"&lt;="&amp;TODAY()+2),"")</f>
        <v/>
      </c>
    </row>
    <row r="499">
      <c r="K499">
        <f>IF(AND($H499="No",$I499&lt;&gt;"",$I499&lt;=TODAY()+2),COUNTIFS($H$2:$H499,"No",$I$2:$I499,"&lt;&gt;"&amp;"",$I$2:$I499,"&lt;="&amp;TODAY()+2),"")</f>
        <v/>
      </c>
    </row>
    <row r="500">
      <c r="K500">
        <f>IF(AND($H500="No",$I500&lt;&gt;"",$I500&lt;=TODAY()+2),COUNTIFS($H$2:$H500,"No",$I$2:$I500,"&lt;&gt;"&amp;"",$I$2:$I500,"&lt;="&amp;TODAY()+2),"")</f>
        <v/>
      </c>
    </row>
  </sheetData>
  <autoFilter ref="A1:J16"/>
  <conditionalFormatting sqref="E2:E500">
    <cfRule type="cellIs" priority="1" operator="equal" dxfId="0">
      <formula>"Critical"</formula>
    </cfRule>
    <cfRule type="cellIs" priority="2" operator="equal" dxfId="1">
      <formula>"High"</formula>
    </cfRule>
  </conditionalFormatting>
  <conditionalFormatting sqref="H2:H500">
    <cfRule type="cellIs" priority="3" operator="equal" dxfId="0">
      <formula>"No"</formula>
    </cfRule>
  </conditionalFormatting>
  <dataValidations count="4">
    <dataValidation sqref="C2:C200" showDropDown="0" showInputMessage="0" showErrorMessage="0" allowBlank="0" errorTitle="Invalid entry" error="Please choose a value from the dropdown." type="list">
      <formula1>"Maintenance Delay,Service Experience,Noise Complaint,Move-In Condition,Package Issue,Access Issue,Parking Dispute,Billing Question,Pest Control,Common Area,Amenity Access,Other"</formula1>
    </dataValidation>
    <dataValidation sqref="E2:E200" showDropDown="0" showInputMessage="0" showErrorMessage="0" allowBlank="0" errorTitle="Invalid entry" error="Please choose a value from the dropdown." type="list">
      <formula1>"Low,Medium,High,Critical"</formula1>
    </dataValidation>
    <dataValidation sqref="H2:H200" showDropDown="0" showInputMessage="0" showErrorMessage="0" allowBlank="0" errorTitle="Invalid entry" error="Please choose a value from the dropdown." type="list">
      <formula1>"Yes,No"</formula1>
    </dataValidation>
    <dataValidation sqref="J2:J200" showDropDown="0" showInputMessage="0" showErrorMessage="0" allowBlank="0" errorTitle="Invalid entry" error="Please choose a value from the dropdown." type="list">
      <formula1>"1,2,3,4,5"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D1" t="inlineStr">
        <is>
          <t>SLA Status</t>
        </is>
      </c>
      <c r="E1" t="inlineStr">
        <is>
          <t>Count</t>
        </is>
      </c>
      <c r="G1" t="inlineStr">
        <is>
          <t>Make-Ready</t>
        </is>
      </c>
      <c r="H1" t="inlineStr">
        <is>
          <t>Count</t>
        </is>
      </c>
      <c r="J1" t="inlineStr">
        <is>
          <t>Intent</t>
        </is>
      </c>
      <c r="K1" t="inlineStr">
        <is>
          <t>Count</t>
        </is>
      </c>
    </row>
    <row r="2">
      <c r="A2" t="inlineStr">
        <is>
          <t>Plumbing</t>
        </is>
      </c>
      <c r="B2">
        <f>COUNTIFS('Work Orders'!D2:D500,A2)</f>
        <v/>
      </c>
      <c r="D2" t="inlineStr">
        <is>
          <t>Breached</t>
        </is>
      </c>
      <c r="E2">
        <f>COUNTIFS('Work Orders'!L2:L500,D2)</f>
        <v/>
      </c>
      <c r="G2" t="inlineStr">
        <is>
          <t>Ready for QC</t>
        </is>
      </c>
      <c r="H2">
        <f>COUNTIFS(Turnover!H2:H500,G2)</f>
        <v/>
      </c>
      <c r="J2" t="inlineStr">
        <is>
          <t>Renewing</t>
        </is>
      </c>
      <c r="K2">
        <f>COUNTIFS(Retention!G2:G500,J2)</f>
        <v/>
      </c>
    </row>
    <row r="3">
      <c r="A3" t="inlineStr">
        <is>
          <t>Electrical</t>
        </is>
      </c>
      <c r="B3">
        <f>COUNTIFS('Work Orders'!D2:D500,A3)</f>
        <v/>
      </c>
      <c r="D3" t="inlineStr">
        <is>
          <t>At Risk</t>
        </is>
      </c>
      <c r="E3">
        <f>COUNTIFS('Work Orders'!L2:L500,D3)</f>
        <v/>
      </c>
      <c r="G3" t="inlineStr">
        <is>
          <t>In Progress</t>
        </is>
      </c>
      <c r="H3">
        <f>COUNTIFS(Turnover!H2:H500,G3)</f>
        <v/>
      </c>
      <c r="J3" t="inlineStr">
        <is>
          <t>Undecided</t>
        </is>
      </c>
      <c r="K3">
        <f>COUNTIFS(Retention!G2:G500,J3)</f>
        <v/>
      </c>
    </row>
    <row r="4">
      <c r="A4" t="inlineStr">
        <is>
          <t>HVAC</t>
        </is>
      </c>
      <c r="B4">
        <f>COUNTIFS('Work Orders'!D2:D500,A4)</f>
        <v/>
      </c>
      <c r="D4" t="inlineStr">
        <is>
          <t>On Track</t>
        </is>
      </c>
      <c r="E4">
        <f>COUNTIFS('Work Orders'!L2:L500,D4)</f>
        <v/>
      </c>
      <c r="G4" t="inlineStr">
        <is>
          <t>Not Started</t>
        </is>
      </c>
      <c r="H4">
        <f>COUNTIFS(Turnover!H2:H500,G4)</f>
        <v/>
      </c>
      <c r="J4" t="inlineStr">
        <is>
          <t>Unknown</t>
        </is>
      </c>
      <c r="K4">
        <f>COUNTIFS(Retention!G2:G500,J4)</f>
        <v/>
      </c>
    </row>
    <row r="5">
      <c r="A5" t="inlineStr">
        <is>
          <t>Appliance</t>
        </is>
      </c>
      <c r="B5">
        <f>COUNTIFS('Work Orders'!D2:D500,A5)</f>
        <v/>
      </c>
      <c r="D5" t="inlineStr">
        <is>
          <t>Closed</t>
        </is>
      </c>
      <c r="E5">
        <f>COUNTIFS('Work Orders'!L2:L500,D5)</f>
        <v/>
      </c>
      <c r="G5" t="inlineStr">
        <is>
          <t>Ready</t>
        </is>
      </c>
      <c r="H5">
        <f>COUNTIFS(Turnover!H2:H500,G5)</f>
        <v/>
      </c>
      <c r="J5" t="inlineStr">
        <is>
          <t>Not Renewing</t>
        </is>
      </c>
      <c r="K5">
        <f>COUNTIFS(Retention!G2:G500,J5)</f>
        <v/>
      </c>
    </row>
    <row r="6">
      <c r="A6" t="inlineStr">
        <is>
          <t>Lock/Key</t>
        </is>
      </c>
      <c r="B6">
        <f>COUNTIFS('Work Orders'!D2:D500,A6)</f>
        <v/>
      </c>
    </row>
    <row r="7">
      <c r="A7" t="inlineStr">
        <is>
          <t>Pest</t>
        </is>
      </c>
      <c r="B7">
        <f>COUNTIFS('Work Orders'!D2:D500,A7)</f>
        <v/>
      </c>
    </row>
    <row r="8">
      <c r="A8" t="inlineStr">
        <is>
          <t>Common Area</t>
        </is>
      </c>
      <c r="B8">
        <f>COUNTIFS('Work Orders'!D2:D500,A8)</f>
        <v/>
      </c>
    </row>
    <row r="9">
      <c r="A9" t="inlineStr">
        <is>
          <t>Noise</t>
        </is>
      </c>
      <c r="B9">
        <f>COUNTIFS('Work Orders'!D2:D500,A9)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D20"/>
  <sheetViews>
    <sheetView showGridLines="0" workbookViewId="0">
      <selection activeCell="A1" sqref="A1"/>
    </sheetView>
  </sheetViews>
  <sheetFormatPr baseColWidth="8" defaultRowHeight="15"/>
  <cols>
    <col hidden="1" width="3" customWidth="1" min="1" max="1"/>
    <col width="30" customWidth="1" min="2" max="2"/>
    <col width="20" customWidth="1" min="3" max="3"/>
    <col width="16" customWidth="1" min="4" max="4"/>
  </cols>
  <sheetData>
    <row r="1">
      <c r="B1" s="50" t="inlineStr">
        <is>
          <t>Weekly Operations Report</t>
        </is>
      </c>
    </row>
    <row r="2">
      <c r="B2" s="51">
        <f>"Week of "&amp;TEXT(TODAY()-6,"mm/dd")&amp;" – "&amp;TEXT(TODAY(),"mm/dd/yyyy")</f>
        <v/>
      </c>
    </row>
    <row r="4" ht="26" customHeight="1">
      <c r="B4" s="52" t="inlineStr">
        <is>
          <t>THIS WEEK'S NUMBERS</t>
        </is>
      </c>
    </row>
    <row r="5" ht="22" customHeight="1">
      <c r="B5" s="53" t="inlineStr">
        <is>
          <t>Work orders closed this week</t>
        </is>
      </c>
      <c r="C5" s="54">
        <f>COUNTIFS('Work Orders'!H2:H500,"Closed",'Work Orders'!I2:I500,"&gt;="&amp;TODAY()-7)</f>
        <v/>
      </c>
    </row>
    <row r="6" ht="22" customHeight="1">
      <c r="B6" s="53" t="inlineStr">
        <is>
          <t>Average days to close</t>
        </is>
      </c>
      <c r="C6" s="54">
        <f>IFERROR(ROUND(AVERAGEIFS('Work Orders'!K2:K500,'Work Orders'!H2:H500,"Closed"),1),"—")</f>
        <v/>
      </c>
    </row>
    <row r="7" ht="22" customHeight="1">
      <c r="B7" s="53" t="inlineStr">
        <is>
          <t>SLA breaches right now</t>
        </is>
      </c>
      <c r="C7" s="54">
        <f>COUNTIFS('Work Orders'!L2:L500,"Breached")</f>
        <v/>
      </c>
    </row>
    <row r="8" ht="22" customHeight="1">
      <c r="B8" s="53" t="inlineStr">
        <is>
          <t>Units made ready this week</t>
        </is>
      </c>
      <c r="C8" s="54">
        <f>COUNTIFS(Turnover!J2:J500,"&gt;="&amp;TODAY()-7)</f>
        <v/>
      </c>
    </row>
    <row r="9" ht="22" customHeight="1">
      <c r="B9" s="53" t="inlineStr">
        <is>
          <t>Renewals secured</t>
        </is>
      </c>
      <c r="C9" s="54">
        <f>COUNTIFS(Retention!G2:G500,"Renewing")</f>
        <v/>
      </c>
    </row>
    <row r="10" ht="22" customHeight="1">
      <c r="B10" s="53" t="inlineStr">
        <is>
          <t>Avg. service-recovery satisfaction</t>
        </is>
      </c>
      <c r="C10" s="54">
        <f>IFERROR(ROUND(AVERAGE('Service Recovery'!J2:J500),2),"—")</f>
        <v/>
      </c>
    </row>
    <row r="12" ht="26" customHeight="1">
      <c r="B12" s="55" t="inlineStr">
        <is>
          <t>TOP 3 BREACHES</t>
        </is>
      </c>
    </row>
    <row r="13">
      <c r="B13" s="56" t="inlineStr">
        <is>
          <t>WO-ID</t>
        </is>
      </c>
      <c r="C13" s="56" t="inlineStr">
        <is>
          <t>Unit</t>
        </is>
      </c>
      <c r="D13" s="56" t="inlineStr">
        <is>
          <t>Days overdue</t>
        </is>
      </c>
    </row>
    <row r="14">
      <c r="A14">
        <f>IFERROR(MATCH(1,'Work Orders'!$M$2:$M$500,0)+1,"")</f>
        <v/>
      </c>
      <c r="B14" s="57">
        <f>IF($A14="","",INDEX('Work Orders'!A:A,$A14))</f>
        <v/>
      </c>
      <c r="C14" s="57">
        <f>IF($A14="","",INDEX('Work Orders'!C:C,$A14))</f>
        <v/>
      </c>
      <c r="D14" s="58">
        <f>IF($A14="","",INDEX('Work Orders'!K:K,$A14)-INDEX('Work Orders'!J:J,$A14))</f>
        <v/>
      </c>
    </row>
    <row r="15">
      <c r="A15">
        <f>IFERROR(MATCH(2,'Work Orders'!$M$2:$M$500,0)+1,"")</f>
        <v/>
      </c>
      <c r="B15" s="57">
        <f>IF($A15="","",INDEX('Work Orders'!A:A,$A15))</f>
        <v/>
      </c>
      <c r="C15" s="57">
        <f>IF($A15="","",INDEX('Work Orders'!C:C,$A15))</f>
        <v/>
      </c>
      <c r="D15" s="58">
        <f>IF($A15="","",INDEX('Work Orders'!K:K,$A15)-INDEX('Work Orders'!J:J,$A15))</f>
        <v/>
      </c>
    </row>
    <row r="16">
      <c r="A16">
        <f>IFERROR(MATCH(3,'Work Orders'!$M$2:$M$500,0)+1,"")</f>
        <v/>
      </c>
      <c r="B16" s="57">
        <f>IF($A16="","",INDEX('Work Orders'!A:A,$A16))</f>
        <v/>
      </c>
      <c r="C16" s="57">
        <f>IF($A16="","",INDEX('Work Orders'!C:C,$A16))</f>
        <v/>
      </c>
      <c r="D16" s="58">
        <f>IF($A16="","",INDEX('Work Orders'!K:K,$A16)-INDEX('Work Orders'!J:J,$A16))</f>
        <v/>
      </c>
    </row>
    <row r="18">
      <c r="B18" s="59" t="inlineStr">
        <is>
          <t>How to use this page: print it (or save as PDF) for standup or your 1:1. Every number is live — no manual rollup. Full detail lives in the Action Center.</t>
        </is>
      </c>
    </row>
    <row r="19"/>
    <row r="20"/>
  </sheetData>
  <mergeCells count="5">
    <mergeCell ref="B2:C2"/>
    <mergeCell ref="B18:D20"/>
    <mergeCell ref="B12:D12"/>
    <mergeCell ref="B1:C1"/>
    <mergeCell ref="B4:C4"/>
  </mergeCell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2026-09-30T08:52:58Z</dcterms:created>
  <dcterms:modified xmlns:dcterms="http://purl.org/dc/terms/" xmlns:xsi="http://www.w3.org/2001/XMLSchema-instance" xsi:type="dcterms:W3CDTF">2026-09-30T08:52:58+00:00Z</dcterms:modified>
</cp:coreProperties>
</file>